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AF36170-72C9-4BDA-84FB-54C2EFB3C922}" xr6:coauthVersionLast="45" xr6:coauthVersionMax="45" xr10:uidLastSave="{00000000-0000-0000-0000-000000000000}"/>
  <bookViews>
    <workbookView xWindow="-48" yWindow="-48" windowWidth="23136" windowHeight="12336" xr2:uid="{363692F7-6472-4979-A2A9-93B87BF991FE}"/>
  </bookViews>
  <sheets>
    <sheet name="SURV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8" i="1" l="1"/>
  <c r="Q68" i="1"/>
  <c r="M68" i="1"/>
  <c r="C68" i="1"/>
  <c r="L68" i="1" s="1"/>
  <c r="R67" i="1"/>
  <c r="Q67" i="1"/>
  <c r="M67" i="1"/>
  <c r="L67" i="1"/>
  <c r="C67" i="1"/>
  <c r="R66" i="1"/>
  <c r="Q66" i="1"/>
  <c r="C66" i="1"/>
  <c r="L66" i="1" s="1"/>
  <c r="R65" i="1"/>
  <c r="Q65" i="1"/>
  <c r="L65" i="1"/>
  <c r="C65" i="1"/>
  <c r="M65" i="1" s="1"/>
  <c r="R64" i="1"/>
  <c r="Q64" i="1"/>
  <c r="L64" i="1"/>
  <c r="C64" i="1"/>
  <c r="M64" i="1" s="1"/>
  <c r="R63" i="1"/>
  <c r="Q63" i="1"/>
  <c r="C63" i="1"/>
  <c r="M63" i="1" s="1"/>
  <c r="R62" i="1"/>
  <c r="Q62" i="1"/>
  <c r="M62" i="1"/>
  <c r="C62" i="1"/>
  <c r="L62" i="1" s="1"/>
  <c r="R61" i="1"/>
  <c r="Q61" i="1"/>
  <c r="C61" i="1"/>
  <c r="M61" i="1" s="1"/>
  <c r="R60" i="1"/>
  <c r="Q60" i="1"/>
  <c r="M60" i="1"/>
  <c r="C60" i="1"/>
  <c r="L60" i="1" s="1"/>
  <c r="R59" i="1"/>
  <c r="Q59" i="1"/>
  <c r="M59" i="1"/>
  <c r="L59" i="1"/>
  <c r="C59" i="1"/>
  <c r="R58" i="1"/>
  <c r="Q58" i="1"/>
  <c r="C58" i="1"/>
  <c r="M58" i="1" s="1"/>
  <c r="R57" i="1"/>
  <c r="Q57" i="1"/>
  <c r="L57" i="1"/>
  <c r="C57" i="1"/>
  <c r="M57" i="1" s="1"/>
  <c r="R55" i="1"/>
  <c r="C55" i="1"/>
  <c r="M55" i="1" s="1"/>
  <c r="R54" i="1"/>
  <c r="L54" i="1"/>
  <c r="C54" i="1"/>
  <c r="M54" i="1" s="1"/>
  <c r="R53" i="1"/>
  <c r="C53" i="1"/>
  <c r="M53" i="1" s="1"/>
  <c r="R52" i="1"/>
  <c r="L52" i="1"/>
  <c r="C52" i="1"/>
  <c r="M52" i="1" s="1"/>
  <c r="R51" i="1"/>
  <c r="C51" i="1"/>
  <c r="M51" i="1" s="1"/>
  <c r="R50" i="1"/>
  <c r="L50" i="1"/>
  <c r="C50" i="1"/>
  <c r="M50" i="1" s="1"/>
  <c r="R49" i="1"/>
  <c r="C49" i="1"/>
  <c r="M49" i="1" s="1"/>
  <c r="R48" i="1"/>
  <c r="L48" i="1"/>
  <c r="C48" i="1"/>
  <c r="M48" i="1" s="1"/>
  <c r="R47" i="1"/>
  <c r="C47" i="1"/>
  <c r="M47" i="1" s="1"/>
  <c r="R46" i="1"/>
  <c r="L46" i="1"/>
  <c r="C46" i="1"/>
  <c r="M46" i="1" s="1"/>
  <c r="R45" i="1"/>
  <c r="C45" i="1"/>
  <c r="M45" i="1" s="1"/>
  <c r="R44" i="1"/>
  <c r="L44" i="1"/>
  <c r="C44" i="1"/>
  <c r="M44" i="1" s="1"/>
  <c r="R42" i="1"/>
  <c r="Q42" i="1"/>
  <c r="L42" i="1"/>
  <c r="C42" i="1"/>
  <c r="M42" i="1" s="1"/>
  <c r="R41" i="1"/>
  <c r="Q41" i="1"/>
  <c r="C41" i="1"/>
  <c r="M41" i="1" s="1"/>
  <c r="R40" i="1"/>
  <c r="Q40" i="1"/>
  <c r="M40" i="1"/>
  <c r="C40" i="1"/>
  <c r="L40" i="1" s="1"/>
  <c r="R39" i="1"/>
  <c r="Q39" i="1"/>
  <c r="C39" i="1"/>
  <c r="M39" i="1" s="1"/>
  <c r="R38" i="1"/>
  <c r="Q38" i="1"/>
  <c r="M38" i="1"/>
  <c r="C38" i="1"/>
  <c r="L38" i="1" s="1"/>
  <c r="R37" i="1"/>
  <c r="Q37" i="1"/>
  <c r="M37" i="1"/>
  <c r="L37" i="1"/>
  <c r="C37" i="1"/>
  <c r="R36" i="1"/>
  <c r="Q36" i="1"/>
  <c r="C36" i="1"/>
  <c r="L36" i="1" s="1"/>
  <c r="R35" i="1"/>
  <c r="Q35" i="1"/>
  <c r="L35" i="1"/>
  <c r="C35" i="1"/>
  <c r="M35" i="1" s="1"/>
  <c r="R34" i="1"/>
  <c r="Q34" i="1"/>
  <c r="L34" i="1"/>
  <c r="C34" i="1"/>
  <c r="M34" i="1" s="1"/>
  <c r="R33" i="1"/>
  <c r="Q33" i="1"/>
  <c r="C33" i="1"/>
  <c r="M33" i="1" s="1"/>
  <c r="R32" i="1"/>
  <c r="Q32" i="1"/>
  <c r="M32" i="1"/>
  <c r="C32" i="1"/>
  <c r="L32" i="1" s="1"/>
  <c r="R31" i="1"/>
  <c r="Q31" i="1"/>
  <c r="C31" i="1"/>
  <c r="M31" i="1" s="1"/>
  <c r="R29" i="1"/>
  <c r="Q29" i="1"/>
  <c r="M29" i="1"/>
  <c r="L29" i="1"/>
  <c r="R28" i="1"/>
  <c r="Q28" i="1"/>
  <c r="M28" i="1"/>
  <c r="L28" i="1"/>
  <c r="R27" i="1"/>
  <c r="Q27" i="1"/>
  <c r="M27" i="1"/>
  <c r="L27" i="1"/>
  <c r="R26" i="1"/>
  <c r="Q26" i="1"/>
  <c r="M26" i="1"/>
  <c r="L26" i="1"/>
  <c r="R25" i="1"/>
  <c r="Q25" i="1"/>
  <c r="M25" i="1"/>
  <c r="L25" i="1"/>
  <c r="R24" i="1"/>
  <c r="Q24" i="1"/>
  <c r="M24" i="1"/>
  <c r="L24" i="1"/>
  <c r="M23" i="1"/>
  <c r="L23" i="1"/>
  <c r="P22" i="1"/>
  <c r="P23" i="1" s="1"/>
  <c r="M22" i="1"/>
  <c r="L22" i="1"/>
  <c r="R21" i="1"/>
  <c r="P21" i="1"/>
  <c r="Q21" i="1" s="1"/>
  <c r="C21" i="1"/>
  <c r="M21" i="1" s="1"/>
  <c r="R20" i="1"/>
  <c r="Q20" i="1"/>
  <c r="M20" i="1"/>
  <c r="C20" i="1"/>
  <c r="L20" i="1" s="1"/>
  <c r="R19" i="1"/>
  <c r="Q19" i="1"/>
  <c r="M19" i="1"/>
  <c r="L19" i="1"/>
  <c r="C19" i="1"/>
  <c r="R18" i="1"/>
  <c r="Q18" i="1"/>
  <c r="C18" i="1"/>
  <c r="L18" i="1" s="1"/>
  <c r="R16" i="1"/>
  <c r="Q16" i="1"/>
  <c r="M16" i="1"/>
  <c r="L16" i="1"/>
  <c r="R15" i="1"/>
  <c r="Q15" i="1"/>
  <c r="M15" i="1"/>
  <c r="L15" i="1"/>
  <c r="R14" i="1"/>
  <c r="Q14" i="1"/>
  <c r="M14" i="1"/>
  <c r="L14" i="1"/>
  <c r="R13" i="1"/>
  <c r="Q13" i="1"/>
  <c r="M13" i="1"/>
  <c r="L13" i="1"/>
  <c r="R12" i="1"/>
  <c r="Q12" i="1"/>
  <c r="M12" i="1"/>
  <c r="L12" i="1"/>
  <c r="R11" i="1"/>
  <c r="Q11" i="1"/>
  <c r="M11" i="1"/>
  <c r="L11" i="1"/>
  <c r="R10" i="1"/>
  <c r="Q10" i="1"/>
  <c r="M10" i="1"/>
  <c r="L10" i="1"/>
  <c r="R9" i="1"/>
  <c r="Q9" i="1"/>
  <c r="M9" i="1"/>
  <c r="L9" i="1"/>
  <c r="R8" i="1"/>
  <c r="Q8" i="1"/>
  <c r="M8" i="1"/>
  <c r="L8" i="1"/>
  <c r="R7" i="1"/>
  <c r="Q7" i="1"/>
  <c r="M7" i="1"/>
  <c r="L7" i="1"/>
  <c r="R6" i="1"/>
  <c r="Q6" i="1"/>
  <c r="M6" i="1"/>
  <c r="L6" i="1"/>
  <c r="R5" i="1"/>
  <c r="Q5" i="1"/>
  <c r="M5" i="1"/>
  <c r="L5" i="1"/>
  <c r="R23" i="1" l="1"/>
  <c r="Q23" i="1"/>
  <c r="L21" i="1"/>
  <c r="L31" i="1"/>
  <c r="L39" i="1"/>
  <c r="L45" i="1"/>
  <c r="L47" i="1"/>
  <c r="L49" i="1"/>
  <c r="L51" i="1"/>
  <c r="L53" i="1"/>
  <c r="L55" i="1"/>
  <c r="L61" i="1"/>
  <c r="R22" i="1"/>
  <c r="L58" i="1"/>
  <c r="M18" i="1"/>
  <c r="L33" i="1"/>
  <c r="M36" i="1"/>
  <c r="L41" i="1"/>
  <c r="L63" i="1"/>
  <c r="M66" i="1"/>
  <c r="Q22" i="1"/>
</calcChain>
</file>

<file path=xl/sharedStrings.xml><?xml version="1.0" encoding="utf-8"?>
<sst xmlns="http://schemas.openxmlformats.org/spreadsheetml/2006/main" count="329" uniqueCount="101">
  <si>
    <t>KODE</t>
  </si>
  <si>
    <t>TOTAL PAGU ANGGARAN</t>
  </si>
  <si>
    <t>SUMBER DANA</t>
  </si>
  <si>
    <t>RINCIAN ANGGARAN PER SUMBER DANA
(Hanya diisi bagi sub kegiatan yang sumber dananya lebih dari 1)</t>
  </si>
  <si>
    <t>ANGGARAN KAS</t>
  </si>
  <si>
    <t>REALISASI ANGGARAN PER SUMBER DANA
(Hanya diisi bagi sub kegiatan yang sumber dananya lebih dari 1)</t>
  </si>
  <si>
    <t>TOTAL REALISASI ANGGARAN</t>
  </si>
  <si>
    <t>SISA ANGGARAN</t>
  </si>
  <si>
    <t>(%) CAPAIAN SERAPAN ANGGARAN</t>
  </si>
  <si>
    <t>INDIKATOR KINERJA PROGRAM/ KEGIATAN TAHUN 2025</t>
  </si>
  <si>
    <t>TARGET KINERJA TAHUN 2026</t>
  </si>
  <si>
    <t>REALISASI 
TARGET KINERJA</t>
  </si>
  <si>
    <t>(%) CAPAIAN KINERJA/ REALISASI FISIK
PER INDIKATOR KINERJA</t>
  </si>
  <si>
    <t>(%) CAPAIAN KINERJA/ REALISASI FISIK</t>
  </si>
  <si>
    <t>PERMASALAHAN / KENDALA</t>
  </si>
  <si>
    <t>SOLUSI / TINDAK LANJUT</t>
  </si>
  <si>
    <t>TW I</t>
  </si>
  <si>
    <t>TW II</t>
  </si>
  <si>
    <t>TW III</t>
  </si>
  <si>
    <t>TW IV</t>
  </si>
  <si>
    <t>1.02.1.02.02.2.02.20</t>
  </si>
  <si>
    <t xml:space="preserve">Pengelolaan Surveilans Kesehatan </t>
  </si>
  <si>
    <t>JANUARI</t>
  </si>
  <si>
    <t>Pajak Rokok</t>
  </si>
  <si>
    <t>Jumlah Dokumen Hasil Pengelolaan Surveilans Kesehatan</t>
  </si>
  <si>
    <t>4 Dokumen</t>
  </si>
  <si>
    <t>1. Kuota jemaah tidak tercapai 100%
2. Terdapat jemaah gagal sistem
3. Kontrak  PKTT berganti menjadi PJLP</t>
  </si>
  <si>
    <t>1. Koordinasi dengan kemenhaj dan KBIHu
2. Koordinasi kemenhaji pemecahan masalah jemaah gagal sistem
3. konsultasi dengan ULP dan LPSE</t>
  </si>
  <si>
    <t>FEBRUARI</t>
  </si>
  <si>
    <t>1. Terdapat jemaah tidak istithaah
2. Efisiensi anggaran</t>
  </si>
  <si>
    <t>1. Koordinasi kemenhaj jemaah pengganti
2. koordinasi dengan PEP pengurangan anggaran narsum dan snack workshop siskohatkes</t>
  </si>
  <si>
    <t>MARET</t>
  </si>
  <si>
    <t>1. Alokasi vaksin ipv haji  tidak mencukupi</t>
  </si>
  <si>
    <t>1. koordinasi dengan provinsi</t>
  </si>
  <si>
    <t>APRIL</t>
  </si>
  <si>
    <t>Terdapat lima jemaah tidak istithaah untuk pergi haji</t>
  </si>
  <si>
    <t>koordinasi penggantian kursi ke kemenhaji</t>
  </si>
  <si>
    <t>MEI</t>
  </si>
  <si>
    <t xml:space="preserve">Terdapat jemaah dugaan tumor otak dan akan dilakukan tanzal
Terdapat dua jemah masih rawat inap d RSAS </t>
  </si>
  <si>
    <t>Koordinasi kemkes, kemenhaji dan BKK untuk monitoring dan kepulangan</t>
  </si>
  <si>
    <t>JUNI</t>
  </si>
  <si>
    <t>JULI</t>
  </si>
  <si>
    <t>AGUSTUS</t>
  </si>
  <si>
    <t>SEPTEMBER</t>
  </si>
  <si>
    <t>OKTOBER</t>
  </si>
  <si>
    <t xml:space="preserve">NOVEMBER </t>
  </si>
  <si>
    <t>DESEMBER</t>
  </si>
  <si>
    <t>1.02.1.02.02.2.02.28</t>
  </si>
  <si>
    <t>Pengambilan dan Pengiriman Spesimen Penyakit Potensial KLB ke Laboratorium Rujukan/Nasional</t>
  </si>
  <si>
    <t>Pajak Rokok dan DAK</t>
  </si>
  <si>
    <t>Jumlah Spesimen Penyakit Potensial KLB ke Laboratorium Rujukan/Nasional yang didistribusikan</t>
  </si>
  <si>
    <t>982 Paket</t>
  </si>
  <si>
    <t>Lab rujukan BBLKM, BBLBK menerapkan pembiayaan pemeriksaan spesimen</t>
  </si>
  <si>
    <t xml:space="preserve">Koordinasi dengan kemkes dan kemkes perihal pembiayaan spsimen </t>
  </si>
  <si>
    <t>Kerjasama pengiriman spesimen masih on process di kantor pos</t>
  </si>
  <si>
    <t xml:space="preserve">Koordinasi dengan ULP depok dan Kantor Pos </t>
  </si>
  <si>
    <t>1. Perubahan harga satuan sesuai harga publish kantor pos
2. Pengadaan reagen pemeriksaan spesimen belum selesai</t>
  </si>
  <si>
    <t>1. Koordinasi kontrak baru dengan kantor pos
2. Koordinasi dengan kemkes perihal sesianya reagen</t>
  </si>
  <si>
    <t>1. Pembayaran pemeriksaan belum jelas
2. Kontrak dengan pos belum ditandatangan</t>
  </si>
  <si>
    <t>1. Koordinasi dengan dinkes provinsi Jawa Barat
2. Koordinasi dengan kantor pos Depok</t>
  </si>
  <si>
    <t>1. Pengambilan spesimen ditunda karena reagen pemerintah sudah habis
2. Kontrak dengan pos belum ditandatangan</t>
  </si>
  <si>
    <t>1. Koordinasi dengan dinkes provinsi Jawa Barat  periha l pembiayaan pemeriksaan PD3I bersumber DAK di prov Jawa Barat
2. Koordinasi dengan kantor pos Depok</t>
  </si>
  <si>
    <t>1.02.1.02.02.2.02.36</t>
  </si>
  <si>
    <t>Investigasi Awal Kejadian Tidak diharapkan (Kejadian Ikutan Pasca Imunisasi dan Pemberian Obat Massal)</t>
  </si>
  <si>
    <t>Jumlah Laporan Hasil Investigasi Awal Kejadian Tidak diharapkan (Kejadian Ikutan Pasca Imunisasi dan Pemberian Obat Massal)</t>
  </si>
  <si>
    <t>2 laporan</t>
  </si>
  <si>
    <t>Terdapat kasus KIPI Berat</t>
  </si>
  <si>
    <t>Dilakukan penyelidikan KIPI dan edukasi keluarga</t>
  </si>
  <si>
    <t>1. Terdapat 3 kasus KIPI
2. Efisiensi anggaran</t>
  </si>
  <si>
    <t>1. Dilakukan penyelidikan KIPI, pasien dapat pulang k rumah
2. Koordinasi PEP penghapusan narsum keg rapat KIPI dan pengurangan honor bulanan Tim Pokja KIPI</t>
  </si>
  <si>
    <t>1.02.1.02.02.2.02.37</t>
  </si>
  <si>
    <t>Pelaksanaaan Kewaspadaan Dini dan Respon Wabah</t>
  </si>
  <si>
    <t>Jumlah Dokumen Hasil Pelaksanaaan Kewaspadaan Dini dan Respon Wabah</t>
  </si>
  <si>
    <t>2  Dokumen</t>
  </si>
  <si>
    <t xml:space="preserve">1. Meningkatnya kasus suspek campak
</t>
  </si>
  <si>
    <t>1. Dilakukan penyelidikan kasus di lapangan</t>
  </si>
  <si>
    <t>1. Kasus suspek campak dengan epidemiologi tidak muncul lagi
2. Penambahan input NAR pada kasus suspek campak
3. Efisiensi anggaran</t>
  </si>
  <si>
    <t>1. Pencabutan SK Campak Kota Depok
2. Sosialisasi penggunaan NAR untuk suspek campak ke puskesmas dan faskes
3. Koordinasi PEP terkait pengurangan honor narsum pada kegiatan workshop</t>
  </si>
  <si>
    <t>1. SK TGC harus sesuai dengan draft kemkes</t>
  </si>
  <si>
    <t>1. Penyusunan dradt TGC Kota Depok</t>
  </si>
  <si>
    <t>1. Kasus suspek campak masih tinggi &gt;500
2. SK Trikorda harus disesuaikan dengan format kemendagri</t>
  </si>
  <si>
    <t>1. PEnyelidikan epidemiologi dan pengambilan spesimen bila memungkinkan
2. Pembahasan SK Trikorda</t>
  </si>
  <si>
    <t>1. Kasus suspk campak masih tinggi &gt;700</t>
  </si>
  <si>
    <t xml:space="preserve">1. Penyelidikan epidemiologi dan pengambilan spesimen bila memungkinkan
</t>
  </si>
  <si>
    <t>-</t>
  </si>
  <si>
    <t xml:space="preserve">1. Terdapat suspek difteri 2 kasus </t>
  </si>
  <si>
    <t>1. Dilakukan penyelidikan epidemiologik dan pengiriman spesimen</t>
  </si>
  <si>
    <t>1.02.1.02.02.2.02.48</t>
  </si>
  <si>
    <t>Pengelolaan Layanan Imunisasi</t>
  </si>
  <si>
    <t>PAD</t>
  </si>
  <si>
    <t>Jumlah Dokumen Hasil Pengelolaan Layanan Imunisasi</t>
  </si>
  <si>
    <t xml:space="preserve">6 Dokumen </t>
  </si>
  <si>
    <t>1. Target bulanan IDL tidak tercapai</t>
  </si>
  <si>
    <t>1. Evaluasi capaian IDL dengan dinkes provinsi dan puskesmas</t>
  </si>
  <si>
    <t>1. Target bulanan IDL tidak tercapai
2. Pelaksanaan CUC MR
3. Efisisensi anggaran</t>
  </si>
  <si>
    <t>1. Evaluasi capaian IDL dengan dinkes provinsi dan puskesmas
2. Penyusunan microplanning kebutuhan MR puskesmas
3. Penghapusan anggaran narsum di 4 pertemuan dan penghapusan snack di pertemuan evaluasi triwulan</t>
  </si>
  <si>
    <t>1. Target bulanan IDL tidak tercapai
2. rencana ORI Kemkes tanpa dasar lengkap</t>
  </si>
  <si>
    <t>1. Evaluasi capaian IDL dengan dinkes provinsi dan puskesmas
2. Koordinasi dengan kemkes terkait penundaan ORI yang tak berdasar</t>
  </si>
  <si>
    <t>1. Target bulanan IDL dan target lain tidak tercapai
2. Kasus campak masih tinggi sehingga diusulkan ORI</t>
  </si>
  <si>
    <t xml:space="preserve">1. Evaluasi capaian IDL dengan dinkes provinsi dan puskesmas
2. Koordinasi KEmkes untuk Pelaksanaan imunisasi kejar Campak </t>
  </si>
  <si>
    <t xml:space="preserve">1. Target bulanan IDL dan target lain tidak tercapai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</si>
</sst>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"/>
    <numFmt numFmtId="165" formatCode="_-* #,##0_-;\-* #,##0_-;_-* &quot;-&quot;??_-;_-@"/>
    <numFmt numFmtId="166" formatCode="_-* #,##0.00_-;\-* #,##0.00_-;_-* &quot;-&quot;_-;_-@"/>
    <numFmt numFmtId="167" formatCode="_-* #,##0.0000_-;\-* #,##0.0000_-;_-* &quot;-&quot;_-;_-@"/>
    <numFmt numFmtId="168" formatCode="_(&quot;Rp&quot;* #,##0_);_(&quot;Rp&quot;* \(#,##0\);_(&quot;Rp&quot;* &quot;-&quot;_);_(@_)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2"/>
      <color theme="1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10" fontId="2" fillId="2" borderId="3" xfId="0" applyNumberFormat="1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164" fontId="2" fillId="2" borderId="10" xfId="0" applyNumberFormat="1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164" fontId="1" fillId="3" borderId="10" xfId="0" applyNumberFormat="1" applyFont="1" applyFill="1" applyBorder="1" applyAlignment="1">
      <alignment vertical="center" wrapText="1"/>
    </xf>
    <xf numFmtId="165" fontId="1" fillId="3" borderId="10" xfId="0" applyNumberFormat="1" applyFont="1" applyFill="1" applyBorder="1" applyAlignment="1">
      <alignment horizontal="left" vertical="center" wrapText="1"/>
    </xf>
    <xf numFmtId="10" fontId="1" fillId="3" borderId="10" xfId="0" applyNumberFormat="1" applyFont="1" applyFill="1" applyBorder="1" applyAlignment="1">
      <alignment horizontal="center" vertical="center" wrapText="1"/>
    </xf>
    <xf numFmtId="166" fontId="1" fillId="3" borderId="3" xfId="0" applyNumberFormat="1" applyFont="1" applyFill="1" applyBorder="1" applyAlignment="1">
      <alignment horizontal="left" vertical="center" wrapText="1"/>
    </xf>
    <xf numFmtId="166" fontId="1" fillId="3" borderId="10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left" vertical="center"/>
    </xf>
    <xf numFmtId="0" fontId="1" fillId="4" borderId="10" xfId="0" applyFont="1" applyFill="1" applyBorder="1" applyAlignment="1">
      <alignment horizontal="left" vertical="center" wrapText="1"/>
    </xf>
    <xf numFmtId="164" fontId="1" fillId="5" borderId="10" xfId="0" applyNumberFormat="1" applyFont="1" applyFill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4" borderId="10" xfId="0" applyNumberFormat="1" applyFont="1" applyFill="1" applyBorder="1" applyAlignment="1">
      <alignment horizontal="center" vertical="center" wrapText="1"/>
    </xf>
    <xf numFmtId="10" fontId="1" fillId="4" borderId="10" xfId="0" applyNumberFormat="1" applyFont="1" applyFill="1" applyBorder="1" applyAlignment="1">
      <alignment horizontal="center" vertical="center" wrapText="1"/>
    </xf>
    <xf numFmtId="3" fontId="4" fillId="0" borderId="11" xfId="0" applyNumberFormat="1" applyFont="1" applyBorder="1" applyAlignment="1">
      <alignment vertical="center"/>
    </xf>
    <xf numFmtId="0" fontId="1" fillId="0" borderId="10" xfId="0" applyFont="1" applyBorder="1" applyAlignment="1">
      <alignment vertical="top"/>
    </xf>
    <xf numFmtId="0" fontId="1" fillId="4" borderId="10" xfId="0" applyFont="1" applyFill="1" applyBorder="1" applyAlignment="1">
      <alignment horizontal="center" vertical="top" wrapText="1"/>
    </xf>
    <xf numFmtId="0" fontId="1" fillId="4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left" vertical="center" wrapText="1"/>
    </xf>
    <xf numFmtId="10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164" fontId="1" fillId="3" borderId="3" xfId="0" applyNumberFormat="1" applyFont="1" applyFill="1" applyBorder="1" applyAlignment="1">
      <alignment vertical="center" wrapText="1"/>
    </xf>
    <xf numFmtId="10" fontId="1" fillId="3" borderId="3" xfId="0" applyNumberFormat="1" applyFont="1" applyFill="1" applyBorder="1" applyAlignment="1">
      <alignment vertical="center" wrapText="1"/>
    </xf>
    <xf numFmtId="166" fontId="1" fillId="3" borderId="3" xfId="0" applyNumberFormat="1" applyFont="1" applyFill="1" applyBorder="1" applyAlignment="1">
      <alignment vertical="center" wrapText="1"/>
    </xf>
    <xf numFmtId="167" fontId="1" fillId="3" borderId="3" xfId="0" applyNumberFormat="1" applyFont="1" applyFill="1" applyBorder="1" applyAlignment="1">
      <alignment vertical="center" wrapText="1"/>
    </xf>
    <xf numFmtId="166" fontId="1" fillId="3" borderId="10" xfId="0" applyNumberFormat="1" applyFont="1" applyFill="1" applyBorder="1" applyAlignment="1">
      <alignment horizontal="left" vertical="center" wrapText="1"/>
    </xf>
    <xf numFmtId="164" fontId="1" fillId="3" borderId="10" xfId="0" applyNumberFormat="1" applyFont="1" applyFill="1" applyBorder="1" applyAlignment="1">
      <alignment vertical="center"/>
    </xf>
    <xf numFmtId="166" fontId="1" fillId="3" borderId="3" xfId="0" applyNumberFormat="1" applyFont="1" applyFill="1" applyBorder="1" applyAlignment="1">
      <alignment horizontal="center" vertical="center" wrapText="1"/>
    </xf>
    <xf numFmtId="10" fontId="1" fillId="3" borderId="10" xfId="0" applyNumberFormat="1" applyFont="1" applyFill="1" applyBorder="1" applyAlignment="1">
      <alignment horizontal="center" vertical="center"/>
    </xf>
    <xf numFmtId="168" fontId="1" fillId="3" borderId="10" xfId="0" applyNumberFormat="1" applyFont="1" applyFill="1" applyBorder="1" applyAlignment="1">
      <alignment horizontal="left" vertical="center" wrapText="1"/>
    </xf>
    <xf numFmtId="166" fontId="1" fillId="3" borderId="1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037E-D09B-43C5-A573-37AC39BDAFB1}">
  <sheetPr>
    <outlinePr summaryBelow="0" summaryRight="0"/>
  </sheetPr>
  <dimension ref="A1:T68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2" max="2" width="18.109375" customWidth="1"/>
    <col min="3" max="3" width="14.6640625" customWidth="1"/>
    <col min="6" max="9" width="14.6640625" customWidth="1"/>
    <col min="19" max="19" width="45.88671875" customWidth="1"/>
    <col min="20" max="20" width="42.109375" customWidth="1"/>
  </cols>
  <sheetData>
    <row r="1" spans="1:20" ht="14.4" x14ac:dyDescent="0.3">
      <c r="A1" s="1"/>
    </row>
    <row r="2" spans="1:20" ht="14.4" x14ac:dyDescent="0.3">
      <c r="A2" s="2" t="s">
        <v>0</v>
      </c>
      <c r="B2" s="3"/>
      <c r="C2" s="4" t="s">
        <v>1</v>
      </c>
      <c r="D2" s="5" t="s">
        <v>2</v>
      </c>
      <c r="E2" s="5" t="s">
        <v>3</v>
      </c>
      <c r="F2" s="6" t="s">
        <v>4</v>
      </c>
      <c r="G2" s="7"/>
      <c r="H2" s="7"/>
      <c r="I2" s="8"/>
      <c r="J2" s="5" t="s">
        <v>5</v>
      </c>
      <c r="K2" s="4" t="s">
        <v>6</v>
      </c>
      <c r="L2" s="5" t="s">
        <v>7</v>
      </c>
      <c r="M2" s="9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9" t="s">
        <v>13</v>
      </c>
      <c r="S2" s="5" t="s">
        <v>14</v>
      </c>
      <c r="T2" s="5" t="s">
        <v>15</v>
      </c>
    </row>
    <row r="3" spans="1:20" ht="43.5" customHeight="1" x14ac:dyDescent="0.3">
      <c r="A3" s="10"/>
      <c r="B3" s="11"/>
      <c r="C3" s="12"/>
      <c r="D3" s="12"/>
      <c r="E3" s="12"/>
      <c r="F3" s="13" t="s">
        <v>16</v>
      </c>
      <c r="G3" s="13" t="s">
        <v>17</v>
      </c>
      <c r="H3" s="13" t="s">
        <v>18</v>
      </c>
      <c r="I3" s="13" t="s">
        <v>19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ht="43.2" x14ac:dyDescent="0.3">
      <c r="A4" s="14" t="s">
        <v>20</v>
      </c>
      <c r="B4" s="15" t="s">
        <v>21</v>
      </c>
      <c r="C4" s="16">
        <v>291790000</v>
      </c>
      <c r="D4" s="17"/>
      <c r="E4" s="16"/>
      <c r="F4" s="16"/>
      <c r="G4" s="16"/>
      <c r="H4" s="16"/>
      <c r="I4" s="16"/>
      <c r="J4" s="16"/>
      <c r="K4" s="16"/>
      <c r="L4" s="16"/>
      <c r="M4" s="18"/>
      <c r="N4" s="19"/>
      <c r="O4" s="19"/>
      <c r="P4" s="20"/>
      <c r="Q4" s="18"/>
      <c r="R4" s="18"/>
      <c r="S4" s="21"/>
      <c r="T4" s="22"/>
    </row>
    <row r="5" spans="1:20" ht="72.599999999999994" thickBot="1" x14ac:dyDescent="0.35">
      <c r="A5" s="23"/>
      <c r="B5" s="24" t="s">
        <v>22</v>
      </c>
      <c r="C5" s="25">
        <v>291790000</v>
      </c>
      <c r="D5" s="26" t="s">
        <v>23</v>
      </c>
      <c r="E5" s="27"/>
      <c r="F5" s="28">
        <v>70011000</v>
      </c>
      <c r="G5" s="28">
        <v>76231000</v>
      </c>
      <c r="H5" s="28">
        <v>80071000</v>
      </c>
      <c r="I5" s="28">
        <v>65477000</v>
      </c>
      <c r="J5" s="27"/>
      <c r="K5" s="29">
        <v>19182718</v>
      </c>
      <c r="L5" s="29">
        <f t="shared" ref="L5:L16" si="0">C5-K5</f>
        <v>272607282</v>
      </c>
      <c r="M5" s="30">
        <f t="shared" ref="M5:M16" si="1">K5/C5</f>
        <v>6.5741519586003633E-2</v>
      </c>
      <c r="N5" s="24" t="s">
        <v>24</v>
      </c>
      <c r="O5" s="24" t="s">
        <v>25</v>
      </c>
      <c r="P5" s="31">
        <v>1</v>
      </c>
      <c r="Q5" s="27">
        <f t="shared" ref="Q5:Q16" si="2">P5/573791*100</f>
        <v>1.742794850389776E-4</v>
      </c>
      <c r="R5" s="28">
        <f t="shared" ref="R5:R16" si="3">P5/4*100%</f>
        <v>0.25</v>
      </c>
      <c r="S5" s="32" t="s">
        <v>26</v>
      </c>
      <c r="T5" s="33" t="s">
        <v>27</v>
      </c>
    </row>
    <row r="6" spans="1:20" ht="72.599999999999994" thickBot="1" x14ac:dyDescent="0.35">
      <c r="A6" s="23"/>
      <c r="B6" s="24" t="s">
        <v>28</v>
      </c>
      <c r="C6" s="25">
        <v>291790000</v>
      </c>
      <c r="D6" s="26" t="s">
        <v>23</v>
      </c>
      <c r="E6" s="27"/>
      <c r="F6" s="28">
        <v>70011000</v>
      </c>
      <c r="G6" s="28">
        <v>76231000</v>
      </c>
      <c r="H6" s="28">
        <v>80071000</v>
      </c>
      <c r="I6" s="28">
        <v>65477000</v>
      </c>
      <c r="J6" s="27"/>
      <c r="K6" s="29">
        <v>37705916</v>
      </c>
      <c r="L6" s="29">
        <f t="shared" si="0"/>
        <v>254084084</v>
      </c>
      <c r="M6" s="30">
        <f t="shared" si="1"/>
        <v>0.12922278350868777</v>
      </c>
      <c r="N6" s="24" t="s">
        <v>24</v>
      </c>
      <c r="O6" s="24" t="s">
        <v>25</v>
      </c>
      <c r="P6" s="31">
        <v>1</v>
      </c>
      <c r="Q6" s="27">
        <f t="shared" si="2"/>
        <v>1.742794850389776E-4</v>
      </c>
      <c r="R6" s="28">
        <f t="shared" si="3"/>
        <v>0.25</v>
      </c>
      <c r="S6" s="32" t="s">
        <v>29</v>
      </c>
      <c r="T6" s="33" t="s">
        <v>30</v>
      </c>
    </row>
    <row r="7" spans="1:20" ht="72.599999999999994" thickBot="1" x14ac:dyDescent="0.35">
      <c r="A7" s="23"/>
      <c r="B7" s="24" t="s">
        <v>31</v>
      </c>
      <c r="C7" s="25">
        <v>291790000</v>
      </c>
      <c r="D7" s="26" t="s">
        <v>23</v>
      </c>
      <c r="E7" s="27"/>
      <c r="F7" s="28">
        <v>70011000</v>
      </c>
      <c r="G7" s="28">
        <v>76231000</v>
      </c>
      <c r="H7" s="28">
        <v>80071000</v>
      </c>
      <c r="I7" s="28">
        <v>65477000</v>
      </c>
      <c r="J7" s="27"/>
      <c r="K7" s="29">
        <v>54815916</v>
      </c>
      <c r="L7" s="29">
        <f t="shared" si="0"/>
        <v>236974084</v>
      </c>
      <c r="M7" s="30">
        <f t="shared" si="1"/>
        <v>0.18786084512834572</v>
      </c>
      <c r="N7" s="24" t="s">
        <v>24</v>
      </c>
      <c r="O7" s="24" t="s">
        <v>25</v>
      </c>
      <c r="P7" s="31">
        <v>1</v>
      </c>
      <c r="Q7" s="27">
        <f t="shared" si="2"/>
        <v>1.742794850389776E-4</v>
      </c>
      <c r="R7" s="28">
        <f t="shared" si="3"/>
        <v>0.25</v>
      </c>
      <c r="S7" s="32" t="s">
        <v>32</v>
      </c>
      <c r="T7" s="33" t="s">
        <v>33</v>
      </c>
    </row>
    <row r="8" spans="1:20" ht="72.599999999999994" thickBot="1" x14ac:dyDescent="0.35">
      <c r="A8" s="23"/>
      <c r="B8" s="24" t="s">
        <v>34</v>
      </c>
      <c r="C8" s="25">
        <v>291790000</v>
      </c>
      <c r="D8" s="26" t="s">
        <v>23</v>
      </c>
      <c r="E8" s="27"/>
      <c r="F8" s="28">
        <v>70011000</v>
      </c>
      <c r="G8" s="28">
        <v>76231000</v>
      </c>
      <c r="H8" s="28">
        <v>80071000</v>
      </c>
      <c r="I8" s="28">
        <v>65477000</v>
      </c>
      <c r="J8" s="27"/>
      <c r="K8" s="29">
        <v>96751832</v>
      </c>
      <c r="L8" s="29">
        <f t="shared" si="0"/>
        <v>195038168</v>
      </c>
      <c r="M8" s="30">
        <f t="shared" si="1"/>
        <v>0.3315803557352891</v>
      </c>
      <c r="N8" s="24" t="s">
        <v>24</v>
      </c>
      <c r="O8" s="24" t="s">
        <v>25</v>
      </c>
      <c r="P8" s="31">
        <v>1</v>
      </c>
      <c r="Q8" s="27">
        <f t="shared" si="2"/>
        <v>1.742794850389776E-4</v>
      </c>
      <c r="R8" s="28">
        <f t="shared" si="3"/>
        <v>0.25</v>
      </c>
      <c r="S8" s="32" t="s">
        <v>35</v>
      </c>
      <c r="T8" s="33" t="s">
        <v>36</v>
      </c>
    </row>
    <row r="9" spans="1:20" ht="72.599999999999994" thickBot="1" x14ac:dyDescent="0.35">
      <c r="A9" s="23"/>
      <c r="B9" s="24" t="s">
        <v>37</v>
      </c>
      <c r="C9" s="25">
        <v>291790000</v>
      </c>
      <c r="D9" s="26" t="s">
        <v>23</v>
      </c>
      <c r="E9" s="27"/>
      <c r="F9" s="28">
        <v>70011000</v>
      </c>
      <c r="G9" s="28">
        <v>76231000</v>
      </c>
      <c r="H9" s="28">
        <v>80071000</v>
      </c>
      <c r="I9" s="28">
        <v>65477000</v>
      </c>
      <c r="J9" s="27"/>
      <c r="K9" s="29">
        <v>116706270</v>
      </c>
      <c r="L9" s="29">
        <f t="shared" si="0"/>
        <v>175083730</v>
      </c>
      <c r="M9" s="30">
        <f t="shared" si="1"/>
        <v>0.39996665410055177</v>
      </c>
      <c r="N9" s="24" t="s">
        <v>24</v>
      </c>
      <c r="O9" s="24" t="s">
        <v>25</v>
      </c>
      <c r="P9" s="31">
        <v>1.5</v>
      </c>
      <c r="Q9" s="27">
        <f t="shared" si="2"/>
        <v>2.6141922755846641E-4</v>
      </c>
      <c r="R9" s="28">
        <f t="shared" si="3"/>
        <v>0.375</v>
      </c>
      <c r="S9" s="32" t="s">
        <v>38</v>
      </c>
      <c r="T9" s="33" t="s">
        <v>39</v>
      </c>
    </row>
    <row r="10" spans="1:20" ht="72.599999999999994" thickBot="1" x14ac:dyDescent="0.35">
      <c r="A10" s="23"/>
      <c r="B10" s="24" t="s">
        <v>40</v>
      </c>
      <c r="C10" s="25">
        <v>291790000</v>
      </c>
      <c r="D10" s="26" t="s">
        <v>23</v>
      </c>
      <c r="E10" s="27"/>
      <c r="F10" s="28">
        <v>70011000</v>
      </c>
      <c r="G10" s="28">
        <v>76231000</v>
      </c>
      <c r="H10" s="28">
        <v>80071000</v>
      </c>
      <c r="I10" s="28">
        <v>65477000</v>
      </c>
      <c r="J10" s="27"/>
      <c r="K10" s="29">
        <v>0</v>
      </c>
      <c r="L10" s="29">
        <f t="shared" si="0"/>
        <v>291790000</v>
      </c>
      <c r="M10" s="30">
        <f t="shared" si="1"/>
        <v>0</v>
      </c>
      <c r="N10" s="24" t="s">
        <v>24</v>
      </c>
      <c r="O10" s="24" t="s">
        <v>25</v>
      </c>
      <c r="P10" s="31">
        <v>0</v>
      </c>
      <c r="Q10" s="27">
        <f t="shared" si="2"/>
        <v>0</v>
      </c>
      <c r="R10" s="28">
        <f t="shared" si="3"/>
        <v>0</v>
      </c>
      <c r="S10" s="32"/>
      <c r="T10" s="33"/>
    </row>
    <row r="11" spans="1:20" ht="72.599999999999994" thickBot="1" x14ac:dyDescent="0.35">
      <c r="A11" s="23"/>
      <c r="B11" s="24" t="s">
        <v>41</v>
      </c>
      <c r="C11" s="25">
        <v>291790000</v>
      </c>
      <c r="D11" s="26" t="s">
        <v>23</v>
      </c>
      <c r="E11" s="27"/>
      <c r="F11" s="28">
        <v>70011000</v>
      </c>
      <c r="G11" s="28">
        <v>76231000</v>
      </c>
      <c r="H11" s="28">
        <v>80071000</v>
      </c>
      <c r="I11" s="28">
        <v>65477000</v>
      </c>
      <c r="J11" s="27"/>
      <c r="K11" s="29">
        <v>0</v>
      </c>
      <c r="L11" s="29">
        <f t="shared" si="0"/>
        <v>291790000</v>
      </c>
      <c r="M11" s="30">
        <f t="shared" si="1"/>
        <v>0</v>
      </c>
      <c r="N11" s="24" t="s">
        <v>24</v>
      </c>
      <c r="O11" s="24" t="s">
        <v>25</v>
      </c>
      <c r="P11" s="31">
        <v>0</v>
      </c>
      <c r="Q11" s="27">
        <f t="shared" si="2"/>
        <v>0</v>
      </c>
      <c r="R11" s="28">
        <f t="shared" si="3"/>
        <v>0</v>
      </c>
      <c r="S11" s="34"/>
      <c r="T11" s="33"/>
    </row>
    <row r="12" spans="1:20" ht="72.599999999999994" thickBot="1" x14ac:dyDescent="0.35">
      <c r="A12" s="23"/>
      <c r="B12" s="24" t="s">
        <v>42</v>
      </c>
      <c r="C12" s="25">
        <v>291790000</v>
      </c>
      <c r="D12" s="26" t="s">
        <v>23</v>
      </c>
      <c r="E12" s="27"/>
      <c r="F12" s="28">
        <v>70011000</v>
      </c>
      <c r="G12" s="28">
        <v>76231000</v>
      </c>
      <c r="H12" s="28">
        <v>80071000</v>
      </c>
      <c r="I12" s="28">
        <v>65477000</v>
      </c>
      <c r="J12" s="27"/>
      <c r="K12" s="29">
        <v>0</v>
      </c>
      <c r="L12" s="29">
        <f t="shared" si="0"/>
        <v>291790000</v>
      </c>
      <c r="M12" s="30">
        <f t="shared" si="1"/>
        <v>0</v>
      </c>
      <c r="N12" s="24" t="s">
        <v>24</v>
      </c>
      <c r="O12" s="24" t="s">
        <v>25</v>
      </c>
      <c r="P12" s="31">
        <v>0</v>
      </c>
      <c r="Q12" s="27">
        <f t="shared" si="2"/>
        <v>0</v>
      </c>
      <c r="R12" s="28">
        <f t="shared" si="3"/>
        <v>0</v>
      </c>
      <c r="S12" s="34"/>
      <c r="T12" s="33"/>
    </row>
    <row r="13" spans="1:20" ht="72.599999999999994" thickBot="1" x14ac:dyDescent="0.35">
      <c r="A13" s="23"/>
      <c r="B13" s="24" t="s">
        <v>43</v>
      </c>
      <c r="C13" s="25">
        <v>291790000</v>
      </c>
      <c r="D13" s="26" t="s">
        <v>23</v>
      </c>
      <c r="E13" s="27"/>
      <c r="F13" s="28">
        <v>70011000</v>
      </c>
      <c r="G13" s="28">
        <v>76231000</v>
      </c>
      <c r="H13" s="28">
        <v>80071000</v>
      </c>
      <c r="I13" s="28">
        <v>65477000</v>
      </c>
      <c r="J13" s="27"/>
      <c r="K13" s="29">
        <v>0</v>
      </c>
      <c r="L13" s="29">
        <f t="shared" si="0"/>
        <v>291790000</v>
      </c>
      <c r="M13" s="30">
        <f t="shared" si="1"/>
        <v>0</v>
      </c>
      <c r="N13" s="24" t="s">
        <v>24</v>
      </c>
      <c r="O13" s="24" t="s">
        <v>25</v>
      </c>
      <c r="P13" s="31">
        <v>0</v>
      </c>
      <c r="Q13" s="27">
        <f t="shared" si="2"/>
        <v>0</v>
      </c>
      <c r="R13" s="28">
        <f t="shared" si="3"/>
        <v>0</v>
      </c>
      <c r="S13" s="34"/>
      <c r="T13" s="33"/>
    </row>
    <row r="14" spans="1:20" ht="72.599999999999994" thickBot="1" x14ac:dyDescent="0.35">
      <c r="A14" s="23"/>
      <c r="B14" s="24" t="s">
        <v>44</v>
      </c>
      <c r="C14" s="25">
        <v>291790000</v>
      </c>
      <c r="D14" s="26" t="s">
        <v>23</v>
      </c>
      <c r="E14" s="27"/>
      <c r="F14" s="28">
        <v>70011000</v>
      </c>
      <c r="G14" s="28">
        <v>76231000</v>
      </c>
      <c r="H14" s="28">
        <v>80071000</v>
      </c>
      <c r="I14" s="28">
        <v>65477000</v>
      </c>
      <c r="J14" s="27"/>
      <c r="K14" s="29">
        <v>0</v>
      </c>
      <c r="L14" s="29">
        <f t="shared" si="0"/>
        <v>291790000</v>
      </c>
      <c r="M14" s="30">
        <f t="shared" si="1"/>
        <v>0</v>
      </c>
      <c r="N14" s="24" t="s">
        <v>24</v>
      </c>
      <c r="O14" s="24" t="s">
        <v>25</v>
      </c>
      <c r="P14" s="31">
        <v>0</v>
      </c>
      <c r="Q14" s="27">
        <f t="shared" si="2"/>
        <v>0</v>
      </c>
      <c r="R14" s="28">
        <f t="shared" si="3"/>
        <v>0</v>
      </c>
      <c r="S14" s="34"/>
      <c r="T14" s="33"/>
    </row>
    <row r="15" spans="1:20" ht="72.599999999999994" thickBot="1" x14ac:dyDescent="0.35">
      <c r="A15" s="23"/>
      <c r="B15" s="24" t="s">
        <v>45</v>
      </c>
      <c r="C15" s="25">
        <v>291790000</v>
      </c>
      <c r="D15" s="26" t="s">
        <v>23</v>
      </c>
      <c r="E15" s="27"/>
      <c r="F15" s="28">
        <v>70011000</v>
      </c>
      <c r="G15" s="28">
        <v>76231000</v>
      </c>
      <c r="H15" s="28">
        <v>80071000</v>
      </c>
      <c r="I15" s="28">
        <v>65477000</v>
      </c>
      <c r="J15" s="27"/>
      <c r="K15" s="29">
        <v>0</v>
      </c>
      <c r="L15" s="29">
        <f t="shared" si="0"/>
        <v>291790000</v>
      </c>
      <c r="M15" s="30">
        <f t="shared" si="1"/>
        <v>0</v>
      </c>
      <c r="N15" s="24" t="s">
        <v>24</v>
      </c>
      <c r="O15" s="24" t="s">
        <v>25</v>
      </c>
      <c r="P15" s="31">
        <v>0</v>
      </c>
      <c r="Q15" s="27">
        <f t="shared" si="2"/>
        <v>0</v>
      </c>
      <c r="R15" s="28">
        <f t="shared" si="3"/>
        <v>0</v>
      </c>
      <c r="S15" s="34"/>
      <c r="T15" s="33"/>
    </row>
    <row r="16" spans="1:20" ht="72.599999999999994" thickBot="1" x14ac:dyDescent="0.35">
      <c r="A16" s="23"/>
      <c r="B16" s="24" t="s">
        <v>46</v>
      </c>
      <c r="C16" s="25">
        <v>291790000</v>
      </c>
      <c r="D16" s="26" t="s">
        <v>23</v>
      </c>
      <c r="E16" s="27"/>
      <c r="F16" s="28">
        <v>70011000</v>
      </c>
      <c r="G16" s="28">
        <v>76231000</v>
      </c>
      <c r="H16" s="28">
        <v>80071000</v>
      </c>
      <c r="I16" s="28">
        <v>65477000</v>
      </c>
      <c r="J16" s="27"/>
      <c r="K16" s="29">
        <v>0</v>
      </c>
      <c r="L16" s="29">
        <f t="shared" si="0"/>
        <v>291790000</v>
      </c>
      <c r="M16" s="30">
        <f t="shared" si="1"/>
        <v>0</v>
      </c>
      <c r="N16" s="24" t="s">
        <v>24</v>
      </c>
      <c r="O16" s="24" t="s">
        <v>25</v>
      </c>
      <c r="P16" s="31">
        <v>1</v>
      </c>
      <c r="Q16" s="27">
        <f t="shared" si="2"/>
        <v>1.742794850389776E-4</v>
      </c>
      <c r="R16" s="28">
        <f t="shared" si="3"/>
        <v>0.25</v>
      </c>
      <c r="S16" s="34"/>
      <c r="T16" s="33"/>
    </row>
    <row r="17" spans="1:20" ht="86.4" x14ac:dyDescent="0.3">
      <c r="A17" s="14" t="s">
        <v>47</v>
      </c>
      <c r="B17" s="15" t="s">
        <v>48</v>
      </c>
      <c r="C17" s="16">
        <v>913658000</v>
      </c>
      <c r="D17" s="17"/>
      <c r="E17" s="16"/>
      <c r="F17" s="16"/>
      <c r="G17" s="16"/>
      <c r="H17" s="16"/>
      <c r="I17" s="16"/>
      <c r="J17" s="16"/>
      <c r="K17" s="16"/>
      <c r="L17" s="16"/>
      <c r="M17" s="18"/>
      <c r="N17" s="19"/>
      <c r="O17" s="19"/>
      <c r="P17" s="20"/>
      <c r="Q17" s="18"/>
      <c r="R17" s="18"/>
      <c r="S17" s="35"/>
      <c r="T17" s="22"/>
    </row>
    <row r="18" spans="1:20" ht="115.2" x14ac:dyDescent="0.3">
      <c r="A18" s="23"/>
      <c r="B18" s="24" t="s">
        <v>22</v>
      </c>
      <c r="C18" s="25">
        <f t="shared" ref="C18:C21" si="4">F18+G18+H18+I18</f>
        <v>913658000</v>
      </c>
      <c r="D18" s="26" t="s">
        <v>49</v>
      </c>
      <c r="E18" s="27"/>
      <c r="F18" s="28">
        <v>163858000</v>
      </c>
      <c r="G18" s="28">
        <v>289900000</v>
      </c>
      <c r="H18" s="28">
        <v>249750000</v>
      </c>
      <c r="I18" s="28">
        <v>210150000</v>
      </c>
      <c r="J18" s="27"/>
      <c r="K18" s="29">
        <v>0</v>
      </c>
      <c r="L18" s="29">
        <f t="shared" ref="L18:L29" si="5">C18-K18</f>
        <v>913658000</v>
      </c>
      <c r="M18" s="30">
        <f t="shared" ref="M18:M29" si="6">K18/C18</f>
        <v>0</v>
      </c>
      <c r="N18" s="24" t="s">
        <v>50</v>
      </c>
      <c r="O18" s="24" t="s">
        <v>51</v>
      </c>
      <c r="P18" s="36">
        <v>2</v>
      </c>
      <c r="Q18" s="27">
        <f t="shared" ref="Q18:Q29" si="7">P18/31868*100</f>
        <v>6.2758880381573994E-3</v>
      </c>
      <c r="R18" s="37">
        <f t="shared" ref="R18:R29" si="8">P18/982*100%</f>
        <v>2.0366598778004071E-3</v>
      </c>
      <c r="S18" s="38" t="s">
        <v>52</v>
      </c>
      <c r="T18" s="33" t="s">
        <v>53</v>
      </c>
    </row>
    <row r="19" spans="1:20" ht="115.2" x14ac:dyDescent="0.3">
      <c r="A19" s="23"/>
      <c r="B19" s="24" t="s">
        <v>28</v>
      </c>
      <c r="C19" s="25">
        <f t="shared" si="4"/>
        <v>913658000</v>
      </c>
      <c r="D19" s="26" t="s">
        <v>49</v>
      </c>
      <c r="E19" s="27"/>
      <c r="F19" s="28">
        <v>163858000</v>
      </c>
      <c r="G19" s="28">
        <v>289900000</v>
      </c>
      <c r="H19" s="28">
        <v>249750000</v>
      </c>
      <c r="I19" s="28">
        <v>210150000</v>
      </c>
      <c r="J19" s="27"/>
      <c r="K19" s="29">
        <v>0</v>
      </c>
      <c r="L19" s="29">
        <f t="shared" si="5"/>
        <v>913658000</v>
      </c>
      <c r="M19" s="30">
        <f t="shared" si="6"/>
        <v>0</v>
      </c>
      <c r="N19" s="24" t="s">
        <v>50</v>
      </c>
      <c r="O19" s="24" t="s">
        <v>51</v>
      </c>
      <c r="P19" s="36">
        <v>2</v>
      </c>
      <c r="Q19" s="27">
        <f t="shared" si="7"/>
        <v>6.2758880381573994E-3</v>
      </c>
      <c r="R19" s="37">
        <f t="shared" si="8"/>
        <v>2.0366598778004071E-3</v>
      </c>
      <c r="S19" s="38" t="s">
        <v>54</v>
      </c>
      <c r="T19" s="33" t="s">
        <v>55</v>
      </c>
    </row>
    <row r="20" spans="1:20" ht="115.2" x14ac:dyDescent="0.3">
      <c r="A20" s="23"/>
      <c r="B20" s="24" t="s">
        <v>31</v>
      </c>
      <c r="C20" s="25">
        <f t="shared" si="4"/>
        <v>913658000</v>
      </c>
      <c r="D20" s="26" t="s">
        <v>49</v>
      </c>
      <c r="E20" s="27"/>
      <c r="F20" s="28">
        <v>163858000</v>
      </c>
      <c r="G20" s="28">
        <v>289900000</v>
      </c>
      <c r="H20" s="28">
        <v>249750000</v>
      </c>
      <c r="I20" s="28">
        <v>210150000</v>
      </c>
      <c r="J20" s="27"/>
      <c r="K20" s="29">
        <v>0</v>
      </c>
      <c r="L20" s="29">
        <f t="shared" si="5"/>
        <v>913658000</v>
      </c>
      <c r="M20" s="30">
        <f t="shared" si="6"/>
        <v>0</v>
      </c>
      <c r="N20" s="24" t="s">
        <v>50</v>
      </c>
      <c r="O20" s="24" t="s">
        <v>51</v>
      </c>
      <c r="P20" s="36">
        <v>2</v>
      </c>
      <c r="Q20" s="27">
        <f t="shared" si="7"/>
        <v>6.2758880381573994E-3</v>
      </c>
      <c r="R20" s="37">
        <f t="shared" si="8"/>
        <v>2.0366598778004071E-3</v>
      </c>
      <c r="S20" s="38" t="s">
        <v>56</v>
      </c>
      <c r="T20" s="33" t="s">
        <v>57</v>
      </c>
    </row>
    <row r="21" spans="1:20" ht="115.2" x14ac:dyDescent="0.3">
      <c r="A21" s="23"/>
      <c r="B21" s="24" t="s">
        <v>34</v>
      </c>
      <c r="C21" s="25">
        <f t="shared" si="4"/>
        <v>913658000</v>
      </c>
      <c r="D21" s="26" t="s">
        <v>49</v>
      </c>
      <c r="E21" s="27"/>
      <c r="F21" s="28">
        <v>163858000</v>
      </c>
      <c r="G21" s="28">
        <v>289900000</v>
      </c>
      <c r="H21" s="28">
        <v>249750000</v>
      </c>
      <c r="I21" s="28">
        <v>210150000</v>
      </c>
      <c r="J21" s="27"/>
      <c r="K21" s="29">
        <v>0</v>
      </c>
      <c r="L21" s="29">
        <f t="shared" si="5"/>
        <v>913658000</v>
      </c>
      <c r="M21" s="30">
        <f t="shared" si="6"/>
        <v>0</v>
      </c>
      <c r="N21" s="24" t="s">
        <v>50</v>
      </c>
      <c r="O21" s="24" t="s">
        <v>51</v>
      </c>
      <c r="P21" s="36">
        <f>P20+2</f>
        <v>4</v>
      </c>
      <c r="Q21" s="27">
        <f t="shared" si="7"/>
        <v>1.2551776076314799E-2</v>
      </c>
      <c r="R21" s="37">
        <f t="shared" si="8"/>
        <v>4.0733197556008143E-3</v>
      </c>
      <c r="S21" s="38" t="s">
        <v>58</v>
      </c>
      <c r="T21" s="33" t="s">
        <v>59</v>
      </c>
    </row>
    <row r="22" spans="1:20" ht="115.2" x14ac:dyDescent="0.3">
      <c r="A22" s="23"/>
      <c r="B22" s="24" t="s">
        <v>37</v>
      </c>
      <c r="C22" s="25">
        <v>307395000</v>
      </c>
      <c r="D22" s="26" t="s">
        <v>49</v>
      </c>
      <c r="E22" s="27"/>
      <c r="F22" s="28">
        <v>163858000</v>
      </c>
      <c r="G22" s="28">
        <v>289900000</v>
      </c>
      <c r="H22" s="28">
        <v>249750000</v>
      </c>
      <c r="I22" s="28">
        <v>210150000</v>
      </c>
      <c r="J22" s="27"/>
      <c r="K22" s="29">
        <v>0</v>
      </c>
      <c r="L22" s="29">
        <f t="shared" si="5"/>
        <v>307395000</v>
      </c>
      <c r="M22" s="30">
        <f t="shared" si="6"/>
        <v>0</v>
      </c>
      <c r="N22" s="24" t="s">
        <v>50</v>
      </c>
      <c r="O22" s="24" t="s">
        <v>51</v>
      </c>
      <c r="P22" s="36">
        <f>P21+29</f>
        <v>33</v>
      </c>
      <c r="Q22" s="27">
        <f t="shared" si="7"/>
        <v>0.10355215262959709</v>
      </c>
      <c r="R22" s="37">
        <f t="shared" si="8"/>
        <v>3.360488798370672E-2</v>
      </c>
      <c r="S22" s="38" t="s">
        <v>60</v>
      </c>
      <c r="T22" s="33" t="s">
        <v>61</v>
      </c>
    </row>
    <row r="23" spans="1:20" ht="115.2" x14ac:dyDescent="0.3">
      <c r="A23" s="23"/>
      <c r="B23" s="24" t="s">
        <v>40</v>
      </c>
      <c r="C23" s="25">
        <v>307395000</v>
      </c>
      <c r="D23" s="26" t="s">
        <v>49</v>
      </c>
      <c r="E23" s="27"/>
      <c r="F23" s="28">
        <v>163858000</v>
      </c>
      <c r="G23" s="28">
        <v>289900000</v>
      </c>
      <c r="H23" s="28">
        <v>249750000</v>
      </c>
      <c r="I23" s="28">
        <v>210150000</v>
      </c>
      <c r="J23" s="27"/>
      <c r="K23" s="29">
        <v>0</v>
      </c>
      <c r="L23" s="29">
        <f t="shared" si="5"/>
        <v>307395000</v>
      </c>
      <c r="M23" s="30">
        <f t="shared" si="6"/>
        <v>0</v>
      </c>
      <c r="N23" s="24" t="s">
        <v>50</v>
      </c>
      <c r="O23" s="24" t="s">
        <v>51</v>
      </c>
      <c r="P23" s="36">
        <f>P22+10</f>
        <v>43</v>
      </c>
      <c r="Q23" s="27">
        <f t="shared" si="7"/>
        <v>0.13493159282038408</v>
      </c>
      <c r="R23" s="37">
        <f t="shared" si="8"/>
        <v>4.3788187372708759E-2</v>
      </c>
      <c r="S23" s="38"/>
      <c r="T23" s="33"/>
    </row>
    <row r="24" spans="1:20" ht="115.2" x14ac:dyDescent="0.3">
      <c r="A24" s="23"/>
      <c r="B24" s="24" t="s">
        <v>41</v>
      </c>
      <c r="C24" s="25">
        <v>307395000</v>
      </c>
      <c r="D24" s="26" t="s">
        <v>49</v>
      </c>
      <c r="E24" s="27"/>
      <c r="F24" s="28">
        <v>163858000</v>
      </c>
      <c r="G24" s="28">
        <v>289900000</v>
      </c>
      <c r="H24" s="28">
        <v>249750000</v>
      </c>
      <c r="I24" s="28">
        <v>210150000</v>
      </c>
      <c r="J24" s="27"/>
      <c r="K24" s="29">
        <v>0</v>
      </c>
      <c r="L24" s="29">
        <f t="shared" si="5"/>
        <v>307395000</v>
      </c>
      <c r="M24" s="30">
        <f t="shared" si="6"/>
        <v>0</v>
      </c>
      <c r="N24" s="24" t="s">
        <v>50</v>
      </c>
      <c r="O24" s="24" t="s">
        <v>51</v>
      </c>
      <c r="P24" s="36">
        <v>0</v>
      </c>
      <c r="Q24" s="27">
        <f t="shared" si="7"/>
        <v>0</v>
      </c>
      <c r="R24" s="37">
        <f t="shared" si="8"/>
        <v>0</v>
      </c>
      <c r="S24" s="34"/>
      <c r="T24" s="33"/>
    </row>
    <row r="25" spans="1:20" ht="115.2" x14ac:dyDescent="0.3">
      <c r="A25" s="23"/>
      <c r="B25" s="24" t="s">
        <v>42</v>
      </c>
      <c r="C25" s="25">
        <v>307395000</v>
      </c>
      <c r="D25" s="26" t="s">
        <v>49</v>
      </c>
      <c r="E25" s="27"/>
      <c r="F25" s="28">
        <v>163858000</v>
      </c>
      <c r="G25" s="28">
        <v>289900000</v>
      </c>
      <c r="H25" s="28">
        <v>249750000</v>
      </c>
      <c r="I25" s="28">
        <v>210150000</v>
      </c>
      <c r="J25" s="27"/>
      <c r="K25" s="29">
        <v>0</v>
      </c>
      <c r="L25" s="29">
        <f t="shared" si="5"/>
        <v>307395000</v>
      </c>
      <c r="M25" s="30">
        <f t="shared" si="6"/>
        <v>0</v>
      </c>
      <c r="N25" s="24" t="s">
        <v>50</v>
      </c>
      <c r="O25" s="24" t="s">
        <v>51</v>
      </c>
      <c r="P25" s="36">
        <v>0</v>
      </c>
      <c r="Q25" s="27">
        <f t="shared" si="7"/>
        <v>0</v>
      </c>
      <c r="R25" s="37">
        <f t="shared" si="8"/>
        <v>0</v>
      </c>
      <c r="S25" s="34"/>
      <c r="T25" s="33"/>
    </row>
    <row r="26" spans="1:20" ht="115.2" x14ac:dyDescent="0.3">
      <c r="A26" s="23"/>
      <c r="B26" s="24" t="s">
        <v>43</v>
      </c>
      <c r="C26" s="25">
        <v>307395000</v>
      </c>
      <c r="D26" s="26" t="s">
        <v>49</v>
      </c>
      <c r="E26" s="27"/>
      <c r="F26" s="28">
        <v>163858000</v>
      </c>
      <c r="G26" s="28">
        <v>289900000</v>
      </c>
      <c r="H26" s="28">
        <v>249750000</v>
      </c>
      <c r="I26" s="28">
        <v>210150000</v>
      </c>
      <c r="J26" s="27"/>
      <c r="K26" s="29">
        <v>0</v>
      </c>
      <c r="L26" s="29">
        <f t="shared" si="5"/>
        <v>307395000</v>
      </c>
      <c r="M26" s="30">
        <f t="shared" si="6"/>
        <v>0</v>
      </c>
      <c r="N26" s="24" t="s">
        <v>50</v>
      </c>
      <c r="O26" s="24" t="s">
        <v>51</v>
      </c>
      <c r="P26" s="36">
        <v>0</v>
      </c>
      <c r="Q26" s="27">
        <f t="shared" si="7"/>
        <v>0</v>
      </c>
      <c r="R26" s="37">
        <f t="shared" si="8"/>
        <v>0</v>
      </c>
      <c r="S26" s="34"/>
      <c r="T26" s="33"/>
    </row>
    <row r="27" spans="1:20" ht="115.2" x14ac:dyDescent="0.3">
      <c r="A27" s="23"/>
      <c r="B27" s="24" t="s">
        <v>44</v>
      </c>
      <c r="C27" s="25">
        <v>307395000</v>
      </c>
      <c r="D27" s="26" t="s">
        <v>49</v>
      </c>
      <c r="E27" s="27"/>
      <c r="F27" s="28">
        <v>163858000</v>
      </c>
      <c r="G27" s="28">
        <v>289900000</v>
      </c>
      <c r="H27" s="28">
        <v>249750000</v>
      </c>
      <c r="I27" s="28">
        <v>210150000</v>
      </c>
      <c r="J27" s="27"/>
      <c r="K27" s="29">
        <v>0</v>
      </c>
      <c r="L27" s="29">
        <f t="shared" si="5"/>
        <v>307395000</v>
      </c>
      <c r="M27" s="30">
        <f t="shared" si="6"/>
        <v>0</v>
      </c>
      <c r="N27" s="24" t="s">
        <v>50</v>
      </c>
      <c r="O27" s="24" t="s">
        <v>51</v>
      </c>
      <c r="P27" s="36">
        <v>0</v>
      </c>
      <c r="Q27" s="27">
        <f t="shared" si="7"/>
        <v>0</v>
      </c>
      <c r="R27" s="37">
        <f t="shared" si="8"/>
        <v>0</v>
      </c>
      <c r="S27" s="34"/>
      <c r="T27" s="33"/>
    </row>
    <row r="28" spans="1:20" ht="115.2" x14ac:dyDescent="0.3">
      <c r="A28" s="23"/>
      <c r="B28" s="24" t="s">
        <v>45</v>
      </c>
      <c r="C28" s="25">
        <v>307395000</v>
      </c>
      <c r="D28" s="26" t="s">
        <v>49</v>
      </c>
      <c r="E28" s="27"/>
      <c r="F28" s="28">
        <v>163858000</v>
      </c>
      <c r="G28" s="28">
        <v>289900000</v>
      </c>
      <c r="H28" s="28">
        <v>249750000</v>
      </c>
      <c r="I28" s="28">
        <v>210150000</v>
      </c>
      <c r="J28" s="27"/>
      <c r="K28" s="29">
        <v>0</v>
      </c>
      <c r="L28" s="29">
        <f t="shared" si="5"/>
        <v>307395000</v>
      </c>
      <c r="M28" s="30">
        <f t="shared" si="6"/>
        <v>0</v>
      </c>
      <c r="N28" s="24" t="s">
        <v>50</v>
      </c>
      <c r="O28" s="24" t="s">
        <v>51</v>
      </c>
      <c r="P28" s="36">
        <v>0</v>
      </c>
      <c r="Q28" s="27">
        <f t="shared" si="7"/>
        <v>0</v>
      </c>
      <c r="R28" s="37">
        <f t="shared" si="8"/>
        <v>0</v>
      </c>
      <c r="S28" s="34"/>
      <c r="T28" s="33"/>
    </row>
    <row r="29" spans="1:20" ht="115.2" x14ac:dyDescent="0.3">
      <c r="A29" s="23"/>
      <c r="B29" s="24" t="s">
        <v>46</v>
      </c>
      <c r="C29" s="25">
        <v>307395000</v>
      </c>
      <c r="D29" s="26" t="s">
        <v>49</v>
      </c>
      <c r="E29" s="27"/>
      <c r="F29" s="28">
        <v>163858000</v>
      </c>
      <c r="G29" s="28">
        <v>289900000</v>
      </c>
      <c r="H29" s="28">
        <v>249750000</v>
      </c>
      <c r="I29" s="28">
        <v>210150000</v>
      </c>
      <c r="J29" s="27"/>
      <c r="K29" s="29">
        <v>0</v>
      </c>
      <c r="L29" s="29">
        <f t="shared" si="5"/>
        <v>307395000</v>
      </c>
      <c r="M29" s="30">
        <f t="shared" si="6"/>
        <v>0</v>
      </c>
      <c r="N29" s="24" t="s">
        <v>50</v>
      </c>
      <c r="O29" s="24" t="s">
        <v>51</v>
      </c>
      <c r="P29" s="36">
        <v>0</v>
      </c>
      <c r="Q29" s="27">
        <f t="shared" si="7"/>
        <v>0</v>
      </c>
      <c r="R29" s="37">
        <f t="shared" si="8"/>
        <v>0</v>
      </c>
      <c r="S29" s="34"/>
      <c r="T29" s="33"/>
    </row>
    <row r="30" spans="1:20" ht="100.8" x14ac:dyDescent="0.3">
      <c r="A30" s="14" t="s">
        <v>62</v>
      </c>
      <c r="B30" s="15" t="s">
        <v>63</v>
      </c>
      <c r="C30" s="16">
        <v>28250000</v>
      </c>
      <c r="D30" s="17"/>
      <c r="E30" s="16"/>
      <c r="F30" s="16"/>
      <c r="G30" s="16"/>
      <c r="H30" s="16"/>
      <c r="I30" s="16"/>
      <c r="J30" s="16"/>
      <c r="K30" s="16"/>
      <c r="L30" s="16"/>
      <c r="M30" s="18"/>
      <c r="N30" s="19"/>
      <c r="O30" s="19"/>
      <c r="P30" s="39"/>
      <c r="Q30" s="40"/>
      <c r="R30" s="18"/>
      <c r="S30" s="41"/>
      <c r="T30" s="42"/>
    </row>
    <row r="31" spans="1:20" ht="129.6" x14ac:dyDescent="0.3">
      <c r="A31" s="23"/>
      <c r="B31" s="24" t="s">
        <v>22</v>
      </c>
      <c r="C31" s="25">
        <f t="shared" ref="C31:C42" si="9">F31+G31+H31+I31</f>
        <v>28250000</v>
      </c>
      <c r="D31" s="26" t="s">
        <v>23</v>
      </c>
      <c r="E31" s="27"/>
      <c r="F31" s="28">
        <v>0</v>
      </c>
      <c r="G31" s="28">
        <v>1200000</v>
      </c>
      <c r="H31" s="28">
        <v>1200000</v>
      </c>
      <c r="I31" s="28">
        <v>25850000</v>
      </c>
      <c r="J31" s="27"/>
      <c r="K31" s="29">
        <v>0</v>
      </c>
      <c r="L31" s="29">
        <f t="shared" ref="L31:L42" si="10">C31-K31</f>
        <v>28250000</v>
      </c>
      <c r="M31" s="30">
        <f t="shared" ref="M31:M42" si="11">K31/C31</f>
        <v>0</v>
      </c>
      <c r="N31" s="24" t="s">
        <v>64</v>
      </c>
      <c r="O31" s="24" t="s">
        <v>65</v>
      </c>
      <c r="P31" s="36">
        <v>0</v>
      </c>
      <c r="Q31" s="27">
        <f t="shared" ref="Q31:Q42" si="12">P31/39630*100</f>
        <v>0</v>
      </c>
      <c r="R31" s="37">
        <f t="shared" ref="R31:R42" si="13">P31/2*100%</f>
        <v>0</v>
      </c>
      <c r="S31" s="34" t="s">
        <v>66</v>
      </c>
      <c r="T31" s="33" t="s">
        <v>67</v>
      </c>
    </row>
    <row r="32" spans="1:20" ht="129.6" x14ac:dyDescent="0.3">
      <c r="A32" s="23"/>
      <c r="B32" s="24" t="s">
        <v>28</v>
      </c>
      <c r="C32" s="25">
        <f t="shared" si="9"/>
        <v>28250000</v>
      </c>
      <c r="D32" s="26" t="s">
        <v>23</v>
      </c>
      <c r="E32" s="27"/>
      <c r="F32" s="28">
        <v>0</v>
      </c>
      <c r="G32" s="28">
        <v>1200000</v>
      </c>
      <c r="H32" s="28">
        <v>1200000</v>
      </c>
      <c r="I32" s="28">
        <v>25850000</v>
      </c>
      <c r="J32" s="27"/>
      <c r="K32" s="29">
        <v>0</v>
      </c>
      <c r="L32" s="29">
        <f t="shared" si="10"/>
        <v>28250000</v>
      </c>
      <c r="M32" s="30">
        <f t="shared" si="11"/>
        <v>0</v>
      </c>
      <c r="N32" s="24" t="s">
        <v>64</v>
      </c>
      <c r="O32" s="24" t="s">
        <v>65</v>
      </c>
      <c r="P32" s="36">
        <v>0</v>
      </c>
      <c r="Q32" s="27">
        <f t="shared" si="12"/>
        <v>0</v>
      </c>
      <c r="R32" s="37">
        <f t="shared" si="13"/>
        <v>0</v>
      </c>
      <c r="S32" s="34" t="s">
        <v>68</v>
      </c>
      <c r="T32" s="33" t="s">
        <v>69</v>
      </c>
    </row>
    <row r="33" spans="1:20" ht="129.6" x14ac:dyDescent="0.3">
      <c r="A33" s="23"/>
      <c r="B33" s="24" t="s">
        <v>31</v>
      </c>
      <c r="C33" s="25">
        <f t="shared" si="9"/>
        <v>28250000</v>
      </c>
      <c r="D33" s="26" t="s">
        <v>23</v>
      </c>
      <c r="E33" s="27"/>
      <c r="F33" s="28">
        <v>0</v>
      </c>
      <c r="G33" s="28">
        <v>1200000</v>
      </c>
      <c r="H33" s="28">
        <v>1200000</v>
      </c>
      <c r="I33" s="28">
        <v>25850000</v>
      </c>
      <c r="J33" s="27"/>
      <c r="K33" s="29">
        <v>0</v>
      </c>
      <c r="L33" s="29">
        <f t="shared" si="10"/>
        <v>28250000</v>
      </c>
      <c r="M33" s="30">
        <f t="shared" si="11"/>
        <v>0</v>
      </c>
      <c r="N33" s="24" t="s">
        <v>64</v>
      </c>
      <c r="O33" s="24" t="s">
        <v>65</v>
      </c>
      <c r="P33" s="36">
        <v>0</v>
      </c>
      <c r="Q33" s="27">
        <f t="shared" si="12"/>
        <v>0</v>
      </c>
      <c r="R33" s="37">
        <f t="shared" si="13"/>
        <v>0</v>
      </c>
      <c r="S33" s="34" t="s">
        <v>66</v>
      </c>
      <c r="T33" s="33" t="s">
        <v>67</v>
      </c>
    </row>
    <row r="34" spans="1:20" ht="129.6" x14ac:dyDescent="0.3">
      <c r="A34" s="23"/>
      <c r="B34" s="24" t="s">
        <v>34</v>
      </c>
      <c r="C34" s="25">
        <f t="shared" si="9"/>
        <v>28250000</v>
      </c>
      <c r="D34" s="26" t="s">
        <v>23</v>
      </c>
      <c r="E34" s="27"/>
      <c r="F34" s="28">
        <v>0</v>
      </c>
      <c r="G34" s="28">
        <v>1200000</v>
      </c>
      <c r="H34" s="28">
        <v>1200000</v>
      </c>
      <c r="I34" s="28">
        <v>25850000</v>
      </c>
      <c r="J34" s="27"/>
      <c r="K34" s="29">
        <v>400000</v>
      </c>
      <c r="L34" s="29">
        <f t="shared" si="10"/>
        <v>27850000</v>
      </c>
      <c r="M34" s="30">
        <f t="shared" si="11"/>
        <v>1.415929203539823E-2</v>
      </c>
      <c r="N34" s="24" t="s">
        <v>64</v>
      </c>
      <c r="O34" s="24" t="s">
        <v>65</v>
      </c>
      <c r="P34" s="36">
        <v>0</v>
      </c>
      <c r="Q34" s="27">
        <f t="shared" si="12"/>
        <v>0</v>
      </c>
      <c r="R34" s="37">
        <f t="shared" si="13"/>
        <v>0</v>
      </c>
      <c r="S34" s="34" t="s">
        <v>66</v>
      </c>
      <c r="T34" s="33" t="s">
        <v>67</v>
      </c>
    </row>
    <row r="35" spans="1:20" ht="129.6" x14ac:dyDescent="0.3">
      <c r="A35" s="23"/>
      <c r="B35" s="24" t="s">
        <v>37</v>
      </c>
      <c r="C35" s="25">
        <f t="shared" si="9"/>
        <v>28250000</v>
      </c>
      <c r="D35" s="26" t="s">
        <v>23</v>
      </c>
      <c r="E35" s="27"/>
      <c r="F35" s="28">
        <v>0</v>
      </c>
      <c r="G35" s="28">
        <v>1200000</v>
      </c>
      <c r="H35" s="28">
        <v>1200000</v>
      </c>
      <c r="I35" s="28">
        <v>25850000</v>
      </c>
      <c r="J35" s="27"/>
      <c r="K35" s="29">
        <v>400000</v>
      </c>
      <c r="L35" s="29">
        <f t="shared" si="10"/>
        <v>27850000</v>
      </c>
      <c r="M35" s="30">
        <f t="shared" si="11"/>
        <v>1.415929203539823E-2</v>
      </c>
      <c r="N35" s="24" t="s">
        <v>64</v>
      </c>
      <c r="O35" s="24" t="s">
        <v>65</v>
      </c>
      <c r="P35" s="36">
        <v>0.5</v>
      </c>
      <c r="Q35" s="27">
        <f t="shared" si="12"/>
        <v>1.2616704516780217E-3</v>
      </c>
      <c r="R35" s="37">
        <f t="shared" si="13"/>
        <v>0.25</v>
      </c>
      <c r="S35" s="34" t="s">
        <v>66</v>
      </c>
      <c r="T35" s="33" t="s">
        <v>67</v>
      </c>
    </row>
    <row r="36" spans="1:20" ht="129.6" x14ac:dyDescent="0.3">
      <c r="A36" s="23"/>
      <c r="B36" s="24" t="s">
        <v>40</v>
      </c>
      <c r="C36" s="25">
        <f t="shared" si="9"/>
        <v>28250000</v>
      </c>
      <c r="D36" s="26" t="s">
        <v>23</v>
      </c>
      <c r="E36" s="27"/>
      <c r="F36" s="28">
        <v>0</v>
      </c>
      <c r="G36" s="28">
        <v>1200000</v>
      </c>
      <c r="H36" s="28">
        <v>1200000</v>
      </c>
      <c r="I36" s="28">
        <v>25850000</v>
      </c>
      <c r="J36" s="27"/>
      <c r="K36" s="29">
        <v>0</v>
      </c>
      <c r="L36" s="29">
        <f t="shared" si="10"/>
        <v>28250000</v>
      </c>
      <c r="M36" s="30">
        <f t="shared" si="11"/>
        <v>0</v>
      </c>
      <c r="N36" s="24" t="s">
        <v>64</v>
      </c>
      <c r="O36" s="24" t="s">
        <v>65</v>
      </c>
      <c r="P36" s="36"/>
      <c r="Q36" s="27">
        <f t="shared" si="12"/>
        <v>0</v>
      </c>
      <c r="R36" s="37">
        <f t="shared" si="13"/>
        <v>0</v>
      </c>
      <c r="S36" s="34"/>
      <c r="T36" s="33"/>
    </row>
    <row r="37" spans="1:20" ht="129.6" x14ac:dyDescent="0.3">
      <c r="A37" s="23"/>
      <c r="B37" s="24" t="s">
        <v>41</v>
      </c>
      <c r="C37" s="25">
        <f t="shared" si="9"/>
        <v>28250000</v>
      </c>
      <c r="D37" s="26" t="s">
        <v>23</v>
      </c>
      <c r="E37" s="27"/>
      <c r="F37" s="28">
        <v>0</v>
      </c>
      <c r="G37" s="28">
        <v>1200000</v>
      </c>
      <c r="H37" s="28">
        <v>1200000</v>
      </c>
      <c r="I37" s="28">
        <v>25850000</v>
      </c>
      <c r="J37" s="27"/>
      <c r="K37" s="29">
        <v>0</v>
      </c>
      <c r="L37" s="29">
        <f t="shared" si="10"/>
        <v>28250000</v>
      </c>
      <c r="M37" s="30">
        <f t="shared" si="11"/>
        <v>0</v>
      </c>
      <c r="N37" s="24" t="s">
        <v>64</v>
      </c>
      <c r="O37" s="24" t="s">
        <v>65</v>
      </c>
      <c r="P37" s="36">
        <v>0</v>
      </c>
      <c r="Q37" s="27">
        <f t="shared" si="12"/>
        <v>0</v>
      </c>
      <c r="R37" s="37">
        <f t="shared" si="13"/>
        <v>0</v>
      </c>
      <c r="S37" s="34"/>
      <c r="T37" s="33"/>
    </row>
    <row r="38" spans="1:20" ht="129.6" x14ac:dyDescent="0.3">
      <c r="A38" s="23"/>
      <c r="B38" s="24" t="s">
        <v>42</v>
      </c>
      <c r="C38" s="25">
        <f t="shared" si="9"/>
        <v>28250000</v>
      </c>
      <c r="D38" s="26" t="s">
        <v>23</v>
      </c>
      <c r="E38" s="27"/>
      <c r="F38" s="28">
        <v>0</v>
      </c>
      <c r="G38" s="28">
        <v>1200000</v>
      </c>
      <c r="H38" s="28">
        <v>1200000</v>
      </c>
      <c r="I38" s="28">
        <v>25850000</v>
      </c>
      <c r="J38" s="27"/>
      <c r="K38" s="29">
        <v>0</v>
      </c>
      <c r="L38" s="29">
        <f t="shared" si="10"/>
        <v>28250000</v>
      </c>
      <c r="M38" s="30">
        <f t="shared" si="11"/>
        <v>0</v>
      </c>
      <c r="N38" s="24" t="s">
        <v>64</v>
      </c>
      <c r="O38" s="24" t="s">
        <v>65</v>
      </c>
      <c r="P38" s="36">
        <v>0</v>
      </c>
      <c r="Q38" s="27">
        <f t="shared" si="12"/>
        <v>0</v>
      </c>
      <c r="R38" s="37">
        <f t="shared" si="13"/>
        <v>0</v>
      </c>
      <c r="S38" s="34"/>
      <c r="T38" s="33"/>
    </row>
    <row r="39" spans="1:20" ht="129.6" x14ac:dyDescent="0.3">
      <c r="A39" s="23"/>
      <c r="B39" s="24" t="s">
        <v>43</v>
      </c>
      <c r="C39" s="25">
        <f t="shared" si="9"/>
        <v>28250000</v>
      </c>
      <c r="D39" s="26" t="s">
        <v>23</v>
      </c>
      <c r="E39" s="27"/>
      <c r="F39" s="28">
        <v>0</v>
      </c>
      <c r="G39" s="28">
        <v>1200000</v>
      </c>
      <c r="H39" s="28">
        <v>1200000</v>
      </c>
      <c r="I39" s="28">
        <v>25850000</v>
      </c>
      <c r="J39" s="27"/>
      <c r="K39" s="29">
        <v>0</v>
      </c>
      <c r="L39" s="29">
        <f t="shared" si="10"/>
        <v>28250000</v>
      </c>
      <c r="M39" s="30">
        <f t="shared" si="11"/>
        <v>0</v>
      </c>
      <c r="N39" s="24" t="s">
        <v>64</v>
      </c>
      <c r="O39" s="24" t="s">
        <v>65</v>
      </c>
      <c r="P39" s="36">
        <v>0</v>
      </c>
      <c r="Q39" s="27">
        <f t="shared" si="12"/>
        <v>0</v>
      </c>
      <c r="R39" s="37">
        <f t="shared" si="13"/>
        <v>0</v>
      </c>
      <c r="S39" s="34"/>
      <c r="T39" s="33"/>
    </row>
    <row r="40" spans="1:20" ht="129.6" x14ac:dyDescent="0.3">
      <c r="A40" s="23"/>
      <c r="B40" s="24" t="s">
        <v>44</v>
      </c>
      <c r="C40" s="25">
        <f t="shared" si="9"/>
        <v>28250000</v>
      </c>
      <c r="D40" s="26" t="s">
        <v>23</v>
      </c>
      <c r="E40" s="27"/>
      <c r="F40" s="28">
        <v>0</v>
      </c>
      <c r="G40" s="28">
        <v>1200000</v>
      </c>
      <c r="H40" s="28">
        <v>1200000</v>
      </c>
      <c r="I40" s="28">
        <v>25850000</v>
      </c>
      <c r="J40" s="27"/>
      <c r="K40" s="29">
        <v>0</v>
      </c>
      <c r="L40" s="29">
        <f t="shared" si="10"/>
        <v>28250000</v>
      </c>
      <c r="M40" s="30">
        <f t="shared" si="11"/>
        <v>0</v>
      </c>
      <c r="N40" s="24" t="s">
        <v>64</v>
      </c>
      <c r="O40" s="24" t="s">
        <v>65</v>
      </c>
      <c r="P40" s="36">
        <v>0</v>
      </c>
      <c r="Q40" s="27">
        <f t="shared" si="12"/>
        <v>0</v>
      </c>
      <c r="R40" s="37">
        <f t="shared" si="13"/>
        <v>0</v>
      </c>
      <c r="S40" s="34"/>
      <c r="T40" s="33"/>
    </row>
    <row r="41" spans="1:20" ht="129.6" x14ac:dyDescent="0.3">
      <c r="A41" s="23"/>
      <c r="B41" s="24" t="s">
        <v>45</v>
      </c>
      <c r="C41" s="25">
        <f t="shared" si="9"/>
        <v>28250000</v>
      </c>
      <c r="D41" s="26" t="s">
        <v>23</v>
      </c>
      <c r="E41" s="27"/>
      <c r="F41" s="28">
        <v>0</v>
      </c>
      <c r="G41" s="28">
        <v>1200000</v>
      </c>
      <c r="H41" s="28">
        <v>1200000</v>
      </c>
      <c r="I41" s="28">
        <v>25850000</v>
      </c>
      <c r="J41" s="27"/>
      <c r="K41" s="29">
        <v>0</v>
      </c>
      <c r="L41" s="29">
        <f t="shared" si="10"/>
        <v>28250000</v>
      </c>
      <c r="M41" s="30">
        <f t="shared" si="11"/>
        <v>0</v>
      </c>
      <c r="N41" s="24" t="s">
        <v>64</v>
      </c>
      <c r="O41" s="24" t="s">
        <v>65</v>
      </c>
      <c r="P41" s="36">
        <v>0</v>
      </c>
      <c r="Q41" s="27">
        <f t="shared" si="12"/>
        <v>0</v>
      </c>
      <c r="R41" s="37">
        <f t="shared" si="13"/>
        <v>0</v>
      </c>
      <c r="S41" s="34"/>
      <c r="T41" s="33"/>
    </row>
    <row r="42" spans="1:20" ht="129.6" x14ac:dyDescent="0.3">
      <c r="A42" s="23"/>
      <c r="B42" s="24" t="s">
        <v>46</v>
      </c>
      <c r="C42" s="25">
        <f t="shared" si="9"/>
        <v>28250000</v>
      </c>
      <c r="D42" s="26" t="s">
        <v>23</v>
      </c>
      <c r="E42" s="27"/>
      <c r="F42" s="28">
        <v>0</v>
      </c>
      <c r="G42" s="28">
        <v>1200000</v>
      </c>
      <c r="H42" s="28">
        <v>1200000</v>
      </c>
      <c r="I42" s="28">
        <v>25850000</v>
      </c>
      <c r="J42" s="27"/>
      <c r="K42" s="29">
        <v>0</v>
      </c>
      <c r="L42" s="29">
        <f t="shared" si="10"/>
        <v>28250000</v>
      </c>
      <c r="M42" s="30">
        <f t="shared" si="11"/>
        <v>0</v>
      </c>
      <c r="N42" s="24" t="s">
        <v>64</v>
      </c>
      <c r="O42" s="24" t="s">
        <v>65</v>
      </c>
      <c r="P42" s="36">
        <v>0</v>
      </c>
      <c r="Q42" s="27">
        <f t="shared" si="12"/>
        <v>0</v>
      </c>
      <c r="R42" s="37">
        <f t="shared" si="13"/>
        <v>0</v>
      </c>
      <c r="S42" s="34"/>
      <c r="T42" s="33"/>
    </row>
    <row r="43" spans="1:20" ht="43.2" x14ac:dyDescent="0.3">
      <c r="A43" s="14" t="s">
        <v>70</v>
      </c>
      <c r="B43" s="15" t="s">
        <v>71</v>
      </c>
      <c r="C43" s="16">
        <v>18430000</v>
      </c>
      <c r="D43" s="17"/>
      <c r="E43" s="16"/>
      <c r="F43" s="16"/>
      <c r="G43" s="16"/>
      <c r="H43" s="16"/>
      <c r="I43" s="16"/>
      <c r="J43" s="16"/>
      <c r="K43" s="16"/>
      <c r="L43" s="16"/>
      <c r="M43" s="18"/>
      <c r="N43" s="19"/>
      <c r="O43" s="19"/>
      <c r="P43" s="21"/>
      <c r="Q43" s="18"/>
      <c r="R43" s="18"/>
      <c r="S43" s="43"/>
      <c r="T43" s="43"/>
    </row>
    <row r="44" spans="1:20" ht="86.4" x14ac:dyDescent="0.3">
      <c r="A44" s="23"/>
      <c r="B44" s="24" t="s">
        <v>22</v>
      </c>
      <c r="C44" s="25">
        <f t="shared" ref="C44:C55" si="14">F44+G44+H44+I44</f>
        <v>18430000</v>
      </c>
      <c r="D44" s="26" t="s">
        <v>23</v>
      </c>
      <c r="E44" s="27"/>
      <c r="F44" s="28">
        <v>5100000</v>
      </c>
      <c r="G44" s="28">
        <v>4610000</v>
      </c>
      <c r="H44" s="28">
        <v>3610000</v>
      </c>
      <c r="I44" s="28">
        <v>5110000</v>
      </c>
      <c r="J44" s="27"/>
      <c r="K44" s="29">
        <v>0</v>
      </c>
      <c r="L44" s="29">
        <f t="shared" ref="L44:L55" si="15">C44-K44</f>
        <v>18430000</v>
      </c>
      <c r="M44" s="30">
        <f t="shared" ref="M44:M55" si="16">K44/C44</f>
        <v>0</v>
      </c>
      <c r="N44" s="24" t="s">
        <v>72</v>
      </c>
      <c r="O44" s="24" t="s">
        <v>73</v>
      </c>
      <c r="P44" s="36"/>
      <c r="Q44" s="27"/>
      <c r="R44" s="37">
        <f>0/2*100</f>
        <v>0</v>
      </c>
      <c r="S44" s="34" t="s">
        <v>74</v>
      </c>
      <c r="T44" s="33" t="s">
        <v>75</v>
      </c>
    </row>
    <row r="45" spans="1:20" ht="86.4" x14ac:dyDescent="0.3">
      <c r="A45" s="23"/>
      <c r="B45" s="24" t="s">
        <v>28</v>
      </c>
      <c r="C45" s="25">
        <f t="shared" si="14"/>
        <v>18430000</v>
      </c>
      <c r="D45" s="26" t="s">
        <v>23</v>
      </c>
      <c r="E45" s="27"/>
      <c r="F45" s="28">
        <v>5100000</v>
      </c>
      <c r="G45" s="28">
        <v>4610000</v>
      </c>
      <c r="H45" s="28">
        <v>3610000</v>
      </c>
      <c r="I45" s="28">
        <v>5110000</v>
      </c>
      <c r="J45" s="27"/>
      <c r="K45" s="29">
        <v>0</v>
      </c>
      <c r="L45" s="29">
        <f t="shared" si="15"/>
        <v>18430000</v>
      </c>
      <c r="M45" s="30">
        <f t="shared" si="16"/>
        <v>0</v>
      </c>
      <c r="N45" s="24" t="s">
        <v>72</v>
      </c>
      <c r="O45" s="24" t="s">
        <v>73</v>
      </c>
      <c r="P45" s="36">
        <v>1</v>
      </c>
      <c r="Q45" s="27"/>
      <c r="R45" s="37">
        <f t="shared" ref="R45:R47" si="17">P45/2*100%</f>
        <v>0.5</v>
      </c>
      <c r="S45" s="34" t="s">
        <v>76</v>
      </c>
      <c r="T45" s="33" t="s">
        <v>77</v>
      </c>
    </row>
    <row r="46" spans="1:20" ht="86.4" x14ac:dyDescent="0.3">
      <c r="A46" s="23"/>
      <c r="B46" s="24" t="s">
        <v>31</v>
      </c>
      <c r="C46" s="25">
        <f t="shared" si="14"/>
        <v>18430000</v>
      </c>
      <c r="D46" s="26" t="s">
        <v>23</v>
      </c>
      <c r="E46" s="27"/>
      <c r="F46" s="28">
        <v>5100000</v>
      </c>
      <c r="G46" s="28">
        <v>4610000</v>
      </c>
      <c r="H46" s="28">
        <v>3610000</v>
      </c>
      <c r="I46" s="28">
        <v>5110000</v>
      </c>
      <c r="J46" s="27"/>
      <c r="K46" s="29">
        <v>0</v>
      </c>
      <c r="L46" s="29">
        <f t="shared" si="15"/>
        <v>18430000</v>
      </c>
      <c r="M46" s="30">
        <f t="shared" si="16"/>
        <v>0</v>
      </c>
      <c r="N46" s="24" t="s">
        <v>72</v>
      </c>
      <c r="O46" s="24" t="s">
        <v>73</v>
      </c>
      <c r="P46" s="36">
        <v>1</v>
      </c>
      <c r="Q46" s="27"/>
      <c r="R46" s="37">
        <f t="shared" si="17"/>
        <v>0.5</v>
      </c>
      <c r="S46" s="34" t="s">
        <v>78</v>
      </c>
      <c r="T46" s="33" t="s">
        <v>79</v>
      </c>
    </row>
    <row r="47" spans="1:20" ht="86.4" x14ac:dyDescent="0.3">
      <c r="A47" s="23"/>
      <c r="B47" s="24" t="s">
        <v>34</v>
      </c>
      <c r="C47" s="25">
        <f t="shared" si="14"/>
        <v>18430000</v>
      </c>
      <c r="D47" s="26" t="s">
        <v>23</v>
      </c>
      <c r="E47" s="27"/>
      <c r="F47" s="28">
        <v>5100000</v>
      </c>
      <c r="G47" s="28">
        <v>4610000</v>
      </c>
      <c r="H47" s="28">
        <v>3610000</v>
      </c>
      <c r="I47" s="28">
        <v>5110000</v>
      </c>
      <c r="J47" s="27"/>
      <c r="K47" s="29">
        <v>0</v>
      </c>
      <c r="L47" s="29">
        <f t="shared" si="15"/>
        <v>18430000</v>
      </c>
      <c r="M47" s="30">
        <f t="shared" si="16"/>
        <v>0</v>
      </c>
      <c r="N47" s="24" t="s">
        <v>72</v>
      </c>
      <c r="O47" s="24" t="s">
        <v>73</v>
      </c>
      <c r="P47" s="36">
        <v>1</v>
      </c>
      <c r="Q47" s="27"/>
      <c r="R47" s="37">
        <f t="shared" si="17"/>
        <v>0.5</v>
      </c>
      <c r="S47" s="34" t="s">
        <v>80</v>
      </c>
      <c r="T47" s="33" t="s">
        <v>81</v>
      </c>
    </row>
    <row r="48" spans="1:20" ht="86.4" x14ac:dyDescent="0.3">
      <c r="A48" s="23"/>
      <c r="B48" s="24" t="s">
        <v>37</v>
      </c>
      <c r="C48" s="25">
        <f t="shared" si="14"/>
        <v>18430000</v>
      </c>
      <c r="D48" s="26" t="s">
        <v>23</v>
      </c>
      <c r="E48" s="27"/>
      <c r="F48" s="28">
        <v>5100000</v>
      </c>
      <c r="G48" s="28">
        <v>4610000</v>
      </c>
      <c r="H48" s="28">
        <v>3610000</v>
      </c>
      <c r="I48" s="28">
        <v>5110000</v>
      </c>
      <c r="J48" s="27"/>
      <c r="K48" s="29">
        <v>0</v>
      </c>
      <c r="L48" s="29">
        <f t="shared" si="15"/>
        <v>18430000</v>
      </c>
      <c r="M48" s="30">
        <f t="shared" si="16"/>
        <v>0</v>
      </c>
      <c r="N48" s="24" t="s">
        <v>72</v>
      </c>
      <c r="O48" s="24" t="s">
        <v>73</v>
      </c>
      <c r="P48" s="36">
        <v>1</v>
      </c>
      <c r="Q48" s="27"/>
      <c r="R48" s="37">
        <f t="shared" ref="R48:R55" si="18">0/2*100</f>
        <v>0</v>
      </c>
      <c r="S48" s="34" t="s">
        <v>82</v>
      </c>
      <c r="T48" s="33" t="s">
        <v>83</v>
      </c>
    </row>
    <row r="49" spans="1:20" ht="86.4" x14ac:dyDescent="0.3">
      <c r="A49" s="23"/>
      <c r="B49" s="24" t="s">
        <v>40</v>
      </c>
      <c r="C49" s="25">
        <f t="shared" si="14"/>
        <v>18430000</v>
      </c>
      <c r="D49" s="26" t="s">
        <v>23</v>
      </c>
      <c r="E49" s="27"/>
      <c r="F49" s="28">
        <v>5100000</v>
      </c>
      <c r="G49" s="28">
        <v>4610000</v>
      </c>
      <c r="H49" s="28">
        <v>3610000</v>
      </c>
      <c r="I49" s="28">
        <v>5110000</v>
      </c>
      <c r="J49" s="27"/>
      <c r="K49" s="29">
        <v>0</v>
      </c>
      <c r="L49" s="29">
        <f t="shared" si="15"/>
        <v>18430000</v>
      </c>
      <c r="M49" s="30">
        <f t="shared" si="16"/>
        <v>0</v>
      </c>
      <c r="N49" s="24" t="s">
        <v>72</v>
      </c>
      <c r="O49" s="24" t="s">
        <v>73</v>
      </c>
      <c r="P49" s="36" t="s">
        <v>84</v>
      </c>
      <c r="Q49" s="27"/>
      <c r="R49" s="37">
        <f t="shared" si="18"/>
        <v>0</v>
      </c>
      <c r="S49" s="34" t="s">
        <v>85</v>
      </c>
      <c r="T49" s="33" t="s">
        <v>86</v>
      </c>
    </row>
    <row r="50" spans="1:20" ht="86.4" x14ac:dyDescent="0.3">
      <c r="A50" s="23"/>
      <c r="B50" s="24" t="s">
        <v>41</v>
      </c>
      <c r="C50" s="25">
        <f t="shared" si="14"/>
        <v>18430000</v>
      </c>
      <c r="D50" s="26" t="s">
        <v>23</v>
      </c>
      <c r="E50" s="27"/>
      <c r="F50" s="28">
        <v>5100000</v>
      </c>
      <c r="G50" s="28">
        <v>4610000</v>
      </c>
      <c r="H50" s="28">
        <v>3610000</v>
      </c>
      <c r="I50" s="28">
        <v>5110000</v>
      </c>
      <c r="J50" s="27"/>
      <c r="K50" s="29">
        <v>0</v>
      </c>
      <c r="L50" s="29">
        <f t="shared" si="15"/>
        <v>18430000</v>
      </c>
      <c r="M50" s="30">
        <f t="shared" si="16"/>
        <v>0</v>
      </c>
      <c r="N50" s="24" t="s">
        <v>72</v>
      </c>
      <c r="O50" s="24" t="s">
        <v>73</v>
      </c>
      <c r="P50" s="36" t="s">
        <v>84</v>
      </c>
      <c r="Q50" s="27"/>
      <c r="R50" s="37">
        <f t="shared" si="18"/>
        <v>0</v>
      </c>
      <c r="S50" s="34"/>
      <c r="T50" s="33"/>
    </row>
    <row r="51" spans="1:20" ht="86.4" x14ac:dyDescent="0.3">
      <c r="A51" s="23"/>
      <c r="B51" s="24" t="s">
        <v>42</v>
      </c>
      <c r="C51" s="25">
        <f t="shared" si="14"/>
        <v>18430000</v>
      </c>
      <c r="D51" s="26" t="s">
        <v>23</v>
      </c>
      <c r="E51" s="27"/>
      <c r="F51" s="28">
        <v>5100000</v>
      </c>
      <c r="G51" s="28">
        <v>4610000</v>
      </c>
      <c r="H51" s="28">
        <v>3610000</v>
      </c>
      <c r="I51" s="28">
        <v>5110000</v>
      </c>
      <c r="J51" s="27"/>
      <c r="K51" s="29">
        <v>0</v>
      </c>
      <c r="L51" s="29">
        <f t="shared" si="15"/>
        <v>18430000</v>
      </c>
      <c r="M51" s="30">
        <f t="shared" si="16"/>
        <v>0</v>
      </c>
      <c r="N51" s="24" t="s">
        <v>72</v>
      </c>
      <c r="O51" s="24" t="s">
        <v>73</v>
      </c>
      <c r="P51" s="36" t="s">
        <v>84</v>
      </c>
      <c r="Q51" s="27"/>
      <c r="R51" s="37">
        <f t="shared" si="18"/>
        <v>0</v>
      </c>
      <c r="S51" s="34"/>
      <c r="T51" s="33"/>
    </row>
    <row r="52" spans="1:20" ht="86.4" x14ac:dyDescent="0.3">
      <c r="A52" s="23"/>
      <c r="B52" s="24" t="s">
        <v>43</v>
      </c>
      <c r="C52" s="25">
        <f t="shared" si="14"/>
        <v>18430000</v>
      </c>
      <c r="D52" s="26" t="s">
        <v>23</v>
      </c>
      <c r="E52" s="27"/>
      <c r="F52" s="28">
        <v>5100000</v>
      </c>
      <c r="G52" s="28">
        <v>4610000</v>
      </c>
      <c r="H52" s="28">
        <v>3610000</v>
      </c>
      <c r="I52" s="28">
        <v>5110000</v>
      </c>
      <c r="J52" s="27"/>
      <c r="K52" s="29">
        <v>0</v>
      </c>
      <c r="L52" s="29">
        <f t="shared" si="15"/>
        <v>18430000</v>
      </c>
      <c r="M52" s="30">
        <f t="shared" si="16"/>
        <v>0</v>
      </c>
      <c r="N52" s="24" t="s">
        <v>72</v>
      </c>
      <c r="O52" s="24" t="s">
        <v>73</v>
      </c>
      <c r="P52" s="36" t="s">
        <v>84</v>
      </c>
      <c r="Q52" s="27"/>
      <c r="R52" s="37">
        <f t="shared" si="18"/>
        <v>0</v>
      </c>
      <c r="S52" s="34"/>
      <c r="T52" s="33"/>
    </row>
    <row r="53" spans="1:20" ht="86.4" x14ac:dyDescent="0.3">
      <c r="A53" s="23"/>
      <c r="B53" s="24" t="s">
        <v>44</v>
      </c>
      <c r="C53" s="25">
        <f t="shared" si="14"/>
        <v>18430000</v>
      </c>
      <c r="D53" s="26" t="s">
        <v>23</v>
      </c>
      <c r="E53" s="27"/>
      <c r="F53" s="28">
        <v>5100000</v>
      </c>
      <c r="G53" s="28">
        <v>4610000</v>
      </c>
      <c r="H53" s="28">
        <v>3610000</v>
      </c>
      <c r="I53" s="28">
        <v>5110000</v>
      </c>
      <c r="J53" s="27"/>
      <c r="K53" s="29">
        <v>0</v>
      </c>
      <c r="L53" s="29">
        <f t="shared" si="15"/>
        <v>18430000</v>
      </c>
      <c r="M53" s="30">
        <f t="shared" si="16"/>
        <v>0</v>
      </c>
      <c r="N53" s="24" t="s">
        <v>72</v>
      </c>
      <c r="O53" s="24" t="s">
        <v>73</v>
      </c>
      <c r="P53" s="36" t="s">
        <v>84</v>
      </c>
      <c r="Q53" s="27"/>
      <c r="R53" s="37">
        <f t="shared" si="18"/>
        <v>0</v>
      </c>
      <c r="S53" s="34"/>
      <c r="T53" s="33"/>
    </row>
    <row r="54" spans="1:20" ht="86.4" x14ac:dyDescent="0.3">
      <c r="A54" s="23"/>
      <c r="B54" s="24" t="s">
        <v>45</v>
      </c>
      <c r="C54" s="25">
        <f t="shared" si="14"/>
        <v>18430000</v>
      </c>
      <c r="D54" s="26" t="s">
        <v>23</v>
      </c>
      <c r="E54" s="27"/>
      <c r="F54" s="28">
        <v>5100000</v>
      </c>
      <c r="G54" s="28">
        <v>4610000</v>
      </c>
      <c r="H54" s="28">
        <v>3610000</v>
      </c>
      <c r="I54" s="28">
        <v>5110000</v>
      </c>
      <c r="J54" s="27"/>
      <c r="K54" s="29">
        <v>0</v>
      </c>
      <c r="L54" s="29">
        <f t="shared" si="15"/>
        <v>18430000</v>
      </c>
      <c r="M54" s="30">
        <f t="shared" si="16"/>
        <v>0</v>
      </c>
      <c r="N54" s="24" t="s">
        <v>72</v>
      </c>
      <c r="O54" s="24" t="s">
        <v>73</v>
      </c>
      <c r="P54" s="36" t="s">
        <v>84</v>
      </c>
      <c r="Q54" s="27"/>
      <c r="R54" s="37">
        <f t="shared" si="18"/>
        <v>0</v>
      </c>
      <c r="S54" s="34"/>
      <c r="T54" s="33"/>
    </row>
    <row r="55" spans="1:20" ht="86.4" x14ac:dyDescent="0.3">
      <c r="A55" s="23"/>
      <c r="B55" s="24" t="s">
        <v>46</v>
      </c>
      <c r="C55" s="25">
        <f t="shared" si="14"/>
        <v>18430000</v>
      </c>
      <c r="D55" s="26" t="s">
        <v>23</v>
      </c>
      <c r="E55" s="27"/>
      <c r="F55" s="28">
        <v>5100000</v>
      </c>
      <c r="G55" s="28">
        <v>4610000</v>
      </c>
      <c r="H55" s="28">
        <v>3610000</v>
      </c>
      <c r="I55" s="28">
        <v>5110000</v>
      </c>
      <c r="J55" s="27"/>
      <c r="K55" s="29">
        <v>0</v>
      </c>
      <c r="L55" s="29">
        <f t="shared" si="15"/>
        <v>18430000</v>
      </c>
      <c r="M55" s="30">
        <f t="shared" si="16"/>
        <v>0</v>
      </c>
      <c r="N55" s="24" t="s">
        <v>72</v>
      </c>
      <c r="O55" s="24" t="s">
        <v>73</v>
      </c>
      <c r="P55" s="36" t="s">
        <v>84</v>
      </c>
      <c r="Q55" s="27"/>
      <c r="R55" s="37">
        <f t="shared" si="18"/>
        <v>0</v>
      </c>
      <c r="S55" s="34"/>
      <c r="T55" s="33"/>
    </row>
    <row r="56" spans="1:20" ht="28.8" x14ac:dyDescent="0.3">
      <c r="A56" s="14" t="s">
        <v>87</v>
      </c>
      <c r="B56" s="15" t="s">
        <v>88</v>
      </c>
      <c r="C56" s="16">
        <v>49785000</v>
      </c>
      <c r="D56" s="21"/>
      <c r="E56" s="16"/>
      <c r="F56" s="16"/>
      <c r="G56" s="16"/>
      <c r="H56" s="16"/>
      <c r="I56" s="16"/>
      <c r="J56" s="16"/>
      <c r="K56" s="44"/>
      <c r="L56" s="16"/>
      <c r="M56" s="18"/>
      <c r="N56" s="19"/>
      <c r="O56" s="19"/>
      <c r="P56" s="45"/>
      <c r="Q56" s="18"/>
      <c r="R56" s="46"/>
      <c r="S56" s="47"/>
      <c r="T56" s="48"/>
    </row>
    <row r="57" spans="1:20" ht="72" x14ac:dyDescent="0.3">
      <c r="A57" s="23"/>
      <c r="B57" s="24" t="s">
        <v>22</v>
      </c>
      <c r="C57" s="25">
        <f t="shared" ref="C57:C68" si="19">F57+G57+H57+I57</f>
        <v>49785000</v>
      </c>
      <c r="D57" s="26" t="s">
        <v>89</v>
      </c>
      <c r="E57" s="27"/>
      <c r="F57" s="28">
        <v>35235000</v>
      </c>
      <c r="G57" s="28">
        <v>9050000</v>
      </c>
      <c r="H57" s="28">
        <v>3650000</v>
      </c>
      <c r="I57" s="28">
        <v>1850000</v>
      </c>
      <c r="J57" s="27"/>
      <c r="K57" s="29">
        <v>0</v>
      </c>
      <c r="L57" s="29">
        <f t="shared" ref="L57:L68" si="20">C57-K57</f>
        <v>49785000</v>
      </c>
      <c r="M57" s="30">
        <f t="shared" ref="M57:M68" si="21">K57/C57</f>
        <v>0</v>
      </c>
      <c r="N57" s="24" t="s">
        <v>90</v>
      </c>
      <c r="O57" s="24" t="s">
        <v>91</v>
      </c>
      <c r="P57" s="36">
        <v>0</v>
      </c>
      <c r="Q57" s="27">
        <f t="shared" ref="Q57:Q68" si="22">P57/4000*100</f>
        <v>0</v>
      </c>
      <c r="R57" s="37">
        <f t="shared" ref="R57:R68" si="23">P57/6*100%</f>
        <v>0</v>
      </c>
      <c r="S57" s="38" t="s">
        <v>92</v>
      </c>
      <c r="T57" s="33" t="s">
        <v>93</v>
      </c>
    </row>
    <row r="58" spans="1:20" ht="100.8" x14ac:dyDescent="0.3">
      <c r="A58" s="23"/>
      <c r="B58" s="24" t="s">
        <v>28</v>
      </c>
      <c r="C58" s="25">
        <f t="shared" si="19"/>
        <v>49785000</v>
      </c>
      <c r="D58" s="26" t="s">
        <v>89</v>
      </c>
      <c r="E58" s="27"/>
      <c r="F58" s="28">
        <v>35235000</v>
      </c>
      <c r="G58" s="28">
        <v>9050000</v>
      </c>
      <c r="H58" s="28">
        <v>3650000</v>
      </c>
      <c r="I58" s="28">
        <v>1850000</v>
      </c>
      <c r="J58" s="27"/>
      <c r="K58" s="29">
        <v>0</v>
      </c>
      <c r="L58" s="29">
        <f t="shared" si="20"/>
        <v>49785000</v>
      </c>
      <c r="M58" s="30">
        <f t="shared" si="21"/>
        <v>0</v>
      </c>
      <c r="N58" s="24" t="s">
        <v>90</v>
      </c>
      <c r="O58" s="24" t="s">
        <v>91</v>
      </c>
      <c r="P58" s="36">
        <v>0</v>
      </c>
      <c r="Q58" s="27">
        <f t="shared" si="22"/>
        <v>0</v>
      </c>
      <c r="R58" s="37">
        <f t="shared" si="23"/>
        <v>0</v>
      </c>
      <c r="S58" s="38" t="s">
        <v>94</v>
      </c>
      <c r="T58" s="33" t="s">
        <v>95</v>
      </c>
    </row>
    <row r="59" spans="1:20" ht="72" x14ac:dyDescent="0.3">
      <c r="A59" s="23"/>
      <c r="B59" s="24" t="s">
        <v>31</v>
      </c>
      <c r="C59" s="25">
        <f t="shared" si="19"/>
        <v>49785000</v>
      </c>
      <c r="D59" s="26" t="s">
        <v>89</v>
      </c>
      <c r="E59" s="27"/>
      <c r="F59" s="28">
        <v>35235000</v>
      </c>
      <c r="G59" s="28">
        <v>9050000</v>
      </c>
      <c r="H59" s="28">
        <v>3650000</v>
      </c>
      <c r="I59" s="28">
        <v>1850000</v>
      </c>
      <c r="J59" s="27"/>
      <c r="K59" s="29">
        <v>23250000</v>
      </c>
      <c r="L59" s="29">
        <f t="shared" si="20"/>
        <v>26535000</v>
      </c>
      <c r="M59" s="30">
        <f t="shared" si="21"/>
        <v>0.46700813498041577</v>
      </c>
      <c r="N59" s="24" t="s">
        <v>90</v>
      </c>
      <c r="O59" s="24" t="s">
        <v>91</v>
      </c>
      <c r="P59" s="36">
        <v>0</v>
      </c>
      <c r="Q59" s="27">
        <f t="shared" si="22"/>
        <v>0</v>
      </c>
      <c r="R59" s="37">
        <f t="shared" si="23"/>
        <v>0</v>
      </c>
      <c r="S59" s="38" t="s">
        <v>96</v>
      </c>
      <c r="T59" s="33" t="s">
        <v>97</v>
      </c>
    </row>
    <row r="60" spans="1:20" ht="72" x14ac:dyDescent="0.3">
      <c r="A60" s="23"/>
      <c r="B60" s="24" t="s">
        <v>34</v>
      </c>
      <c r="C60" s="25">
        <f t="shared" si="19"/>
        <v>49785000</v>
      </c>
      <c r="D60" s="26" t="s">
        <v>89</v>
      </c>
      <c r="E60" s="27"/>
      <c r="F60" s="28">
        <v>35235000</v>
      </c>
      <c r="G60" s="28">
        <v>9050000</v>
      </c>
      <c r="H60" s="28">
        <v>3650000</v>
      </c>
      <c r="I60" s="28">
        <v>1850000</v>
      </c>
      <c r="J60" s="27"/>
      <c r="K60" s="29">
        <v>32725000</v>
      </c>
      <c r="L60" s="29">
        <f t="shared" si="20"/>
        <v>17060000</v>
      </c>
      <c r="M60" s="30">
        <f t="shared" si="21"/>
        <v>0.65732650396705838</v>
      </c>
      <c r="N60" s="24" t="s">
        <v>90</v>
      </c>
      <c r="O60" s="24" t="s">
        <v>91</v>
      </c>
      <c r="P60" s="36">
        <v>0</v>
      </c>
      <c r="Q60" s="27">
        <f t="shared" si="22"/>
        <v>0</v>
      </c>
      <c r="R60" s="37">
        <f t="shared" si="23"/>
        <v>0</v>
      </c>
      <c r="S60" s="38" t="s">
        <v>98</v>
      </c>
      <c r="T60" s="33" t="s">
        <v>99</v>
      </c>
    </row>
    <row r="61" spans="1:20" ht="72" x14ac:dyDescent="0.3">
      <c r="A61" s="23"/>
      <c r="B61" s="24" t="s">
        <v>37</v>
      </c>
      <c r="C61" s="25">
        <f t="shared" si="19"/>
        <v>49785000</v>
      </c>
      <c r="D61" s="26" t="s">
        <v>89</v>
      </c>
      <c r="E61" s="27"/>
      <c r="F61" s="28">
        <v>35235000</v>
      </c>
      <c r="G61" s="28">
        <v>9050000</v>
      </c>
      <c r="H61" s="28">
        <v>3650000</v>
      </c>
      <c r="I61" s="28">
        <v>1850000</v>
      </c>
      <c r="J61" s="27"/>
      <c r="K61" s="29">
        <v>32725000</v>
      </c>
      <c r="L61" s="29">
        <f t="shared" si="20"/>
        <v>17060000</v>
      </c>
      <c r="M61" s="30">
        <f t="shared" si="21"/>
        <v>0.65732650396705838</v>
      </c>
      <c r="N61" s="24" t="s">
        <v>90</v>
      </c>
      <c r="O61" s="24" t="s">
        <v>91</v>
      </c>
      <c r="P61" s="36">
        <v>0</v>
      </c>
      <c r="Q61" s="27">
        <f t="shared" si="22"/>
        <v>0</v>
      </c>
      <c r="R61" s="37">
        <f t="shared" si="23"/>
        <v>0</v>
      </c>
      <c r="S61" s="38" t="s">
        <v>100</v>
      </c>
      <c r="T61" s="33" t="s">
        <v>93</v>
      </c>
    </row>
    <row r="62" spans="1:20" ht="72" x14ac:dyDescent="0.3">
      <c r="A62" s="23"/>
      <c r="B62" s="24" t="s">
        <v>40</v>
      </c>
      <c r="C62" s="25">
        <f t="shared" si="19"/>
        <v>49785000</v>
      </c>
      <c r="D62" s="26" t="s">
        <v>89</v>
      </c>
      <c r="E62" s="27"/>
      <c r="F62" s="28">
        <v>35235000</v>
      </c>
      <c r="G62" s="28">
        <v>9050000</v>
      </c>
      <c r="H62" s="28">
        <v>3650000</v>
      </c>
      <c r="I62" s="28">
        <v>1850000</v>
      </c>
      <c r="J62" s="27"/>
      <c r="K62" s="29">
        <v>0</v>
      </c>
      <c r="L62" s="29">
        <f t="shared" si="20"/>
        <v>49785000</v>
      </c>
      <c r="M62" s="30">
        <f t="shared" si="21"/>
        <v>0</v>
      </c>
      <c r="N62" s="24" t="s">
        <v>90</v>
      </c>
      <c r="O62" s="24" t="s">
        <v>91</v>
      </c>
      <c r="P62" s="36">
        <v>0</v>
      </c>
      <c r="Q62" s="27">
        <f t="shared" si="22"/>
        <v>0</v>
      </c>
      <c r="R62" s="37">
        <f t="shared" si="23"/>
        <v>0</v>
      </c>
      <c r="S62" s="38"/>
      <c r="T62" s="33"/>
    </row>
    <row r="63" spans="1:20" ht="72" x14ac:dyDescent="0.3">
      <c r="A63" s="23"/>
      <c r="B63" s="24" t="s">
        <v>41</v>
      </c>
      <c r="C63" s="25">
        <f t="shared" si="19"/>
        <v>49785000</v>
      </c>
      <c r="D63" s="26" t="s">
        <v>89</v>
      </c>
      <c r="E63" s="27"/>
      <c r="F63" s="28">
        <v>35235000</v>
      </c>
      <c r="G63" s="28">
        <v>9050000</v>
      </c>
      <c r="H63" s="28">
        <v>3650000</v>
      </c>
      <c r="I63" s="28">
        <v>1850000</v>
      </c>
      <c r="J63" s="27"/>
      <c r="K63" s="29">
        <v>0</v>
      </c>
      <c r="L63" s="29">
        <f t="shared" si="20"/>
        <v>49785000</v>
      </c>
      <c r="M63" s="30">
        <f t="shared" si="21"/>
        <v>0</v>
      </c>
      <c r="N63" s="24" t="s">
        <v>90</v>
      </c>
      <c r="O63" s="24" t="s">
        <v>91</v>
      </c>
      <c r="P63" s="36">
        <v>0</v>
      </c>
      <c r="Q63" s="27">
        <f t="shared" si="22"/>
        <v>0</v>
      </c>
      <c r="R63" s="37">
        <f t="shared" si="23"/>
        <v>0</v>
      </c>
      <c r="S63" s="34"/>
      <c r="T63" s="33"/>
    </row>
    <row r="64" spans="1:20" ht="72" x14ac:dyDescent="0.3">
      <c r="A64" s="23"/>
      <c r="B64" s="24" t="s">
        <v>42</v>
      </c>
      <c r="C64" s="25">
        <f t="shared" si="19"/>
        <v>49785000</v>
      </c>
      <c r="D64" s="26" t="s">
        <v>89</v>
      </c>
      <c r="E64" s="27"/>
      <c r="F64" s="28">
        <v>35235000</v>
      </c>
      <c r="G64" s="28">
        <v>9050000</v>
      </c>
      <c r="H64" s="28">
        <v>3650000</v>
      </c>
      <c r="I64" s="28">
        <v>1850000</v>
      </c>
      <c r="J64" s="27"/>
      <c r="K64" s="29">
        <v>0</v>
      </c>
      <c r="L64" s="29">
        <f t="shared" si="20"/>
        <v>49785000</v>
      </c>
      <c r="M64" s="30">
        <f t="shared" si="21"/>
        <v>0</v>
      </c>
      <c r="N64" s="24" t="s">
        <v>90</v>
      </c>
      <c r="O64" s="24" t="s">
        <v>91</v>
      </c>
      <c r="P64" s="36">
        <v>0</v>
      </c>
      <c r="Q64" s="27">
        <f t="shared" si="22"/>
        <v>0</v>
      </c>
      <c r="R64" s="37">
        <f t="shared" si="23"/>
        <v>0</v>
      </c>
      <c r="S64" s="34"/>
      <c r="T64" s="33"/>
    </row>
    <row r="65" spans="1:20" ht="72" x14ac:dyDescent="0.3">
      <c r="A65" s="23"/>
      <c r="B65" s="24" t="s">
        <v>43</v>
      </c>
      <c r="C65" s="25">
        <f t="shared" si="19"/>
        <v>49785000</v>
      </c>
      <c r="D65" s="26" t="s">
        <v>89</v>
      </c>
      <c r="E65" s="27"/>
      <c r="F65" s="28">
        <v>35235000</v>
      </c>
      <c r="G65" s="28">
        <v>9050000</v>
      </c>
      <c r="H65" s="28">
        <v>3650000</v>
      </c>
      <c r="I65" s="28">
        <v>1850000</v>
      </c>
      <c r="J65" s="27"/>
      <c r="K65" s="29">
        <v>0</v>
      </c>
      <c r="L65" s="29">
        <f t="shared" si="20"/>
        <v>49785000</v>
      </c>
      <c r="M65" s="30">
        <f t="shared" si="21"/>
        <v>0</v>
      </c>
      <c r="N65" s="24" t="s">
        <v>90</v>
      </c>
      <c r="O65" s="24" t="s">
        <v>91</v>
      </c>
      <c r="P65" s="36">
        <v>0</v>
      </c>
      <c r="Q65" s="27">
        <f t="shared" si="22"/>
        <v>0</v>
      </c>
      <c r="R65" s="37">
        <f t="shared" si="23"/>
        <v>0</v>
      </c>
      <c r="S65" s="34"/>
      <c r="T65" s="33"/>
    </row>
    <row r="66" spans="1:20" ht="72" x14ac:dyDescent="0.3">
      <c r="A66" s="23"/>
      <c r="B66" s="24" t="s">
        <v>44</v>
      </c>
      <c r="C66" s="25">
        <f t="shared" si="19"/>
        <v>49785000</v>
      </c>
      <c r="D66" s="26" t="s">
        <v>89</v>
      </c>
      <c r="E66" s="27"/>
      <c r="F66" s="28">
        <v>35235000</v>
      </c>
      <c r="G66" s="28">
        <v>9050000</v>
      </c>
      <c r="H66" s="28">
        <v>3650000</v>
      </c>
      <c r="I66" s="28">
        <v>1850000</v>
      </c>
      <c r="J66" s="27"/>
      <c r="K66" s="29">
        <v>0</v>
      </c>
      <c r="L66" s="29">
        <f t="shared" si="20"/>
        <v>49785000</v>
      </c>
      <c r="M66" s="30">
        <f t="shared" si="21"/>
        <v>0</v>
      </c>
      <c r="N66" s="24" t="s">
        <v>90</v>
      </c>
      <c r="O66" s="24" t="s">
        <v>91</v>
      </c>
      <c r="P66" s="36">
        <v>0</v>
      </c>
      <c r="Q66" s="27">
        <f t="shared" si="22"/>
        <v>0</v>
      </c>
      <c r="R66" s="37">
        <f t="shared" si="23"/>
        <v>0</v>
      </c>
      <c r="S66" s="34"/>
      <c r="T66" s="33"/>
    </row>
    <row r="67" spans="1:20" ht="72" x14ac:dyDescent="0.3">
      <c r="A67" s="23"/>
      <c r="B67" s="24" t="s">
        <v>45</v>
      </c>
      <c r="C67" s="25">
        <f t="shared" si="19"/>
        <v>49785000</v>
      </c>
      <c r="D67" s="26" t="s">
        <v>89</v>
      </c>
      <c r="E67" s="27"/>
      <c r="F67" s="28">
        <v>35235000</v>
      </c>
      <c r="G67" s="28">
        <v>9050000</v>
      </c>
      <c r="H67" s="28">
        <v>3650000</v>
      </c>
      <c r="I67" s="28">
        <v>1850000</v>
      </c>
      <c r="J67" s="27"/>
      <c r="K67" s="29">
        <v>0</v>
      </c>
      <c r="L67" s="29">
        <f t="shared" si="20"/>
        <v>49785000</v>
      </c>
      <c r="M67" s="30">
        <f t="shared" si="21"/>
        <v>0</v>
      </c>
      <c r="N67" s="24" t="s">
        <v>90</v>
      </c>
      <c r="O67" s="24" t="s">
        <v>91</v>
      </c>
      <c r="P67" s="36">
        <v>0</v>
      </c>
      <c r="Q67" s="27">
        <f t="shared" si="22"/>
        <v>0</v>
      </c>
      <c r="R67" s="37">
        <f t="shared" si="23"/>
        <v>0</v>
      </c>
      <c r="S67" s="34"/>
      <c r="T67" s="33"/>
    </row>
    <row r="68" spans="1:20" ht="72" x14ac:dyDescent="0.3">
      <c r="A68" s="23"/>
      <c r="B68" s="24" t="s">
        <v>46</v>
      </c>
      <c r="C68" s="25">
        <f t="shared" si="19"/>
        <v>49785000</v>
      </c>
      <c r="D68" s="26" t="s">
        <v>89</v>
      </c>
      <c r="E68" s="27"/>
      <c r="F68" s="28">
        <v>35235000</v>
      </c>
      <c r="G68" s="28">
        <v>9050000</v>
      </c>
      <c r="H68" s="28">
        <v>3650000</v>
      </c>
      <c r="I68" s="28">
        <v>1850000</v>
      </c>
      <c r="J68" s="27"/>
      <c r="K68" s="29">
        <v>0</v>
      </c>
      <c r="L68" s="29">
        <f t="shared" si="20"/>
        <v>49785000</v>
      </c>
      <c r="M68" s="30">
        <f t="shared" si="21"/>
        <v>0</v>
      </c>
      <c r="N68" s="24" t="s">
        <v>90</v>
      </c>
      <c r="O68" s="24" t="s">
        <v>91</v>
      </c>
      <c r="P68" s="36">
        <v>0</v>
      </c>
      <c r="Q68" s="27">
        <f t="shared" si="22"/>
        <v>0</v>
      </c>
      <c r="R68" s="37">
        <f t="shared" si="23"/>
        <v>0</v>
      </c>
      <c r="S68" s="34"/>
      <c r="T68" s="33"/>
    </row>
  </sheetData>
  <mergeCells count="17">
    <mergeCell ref="P2:P3"/>
    <mergeCell ref="Q2:Q3"/>
    <mergeCell ref="R2:R3"/>
    <mergeCell ref="S2:S3"/>
    <mergeCell ref="T2:T3"/>
    <mergeCell ref="J2:J3"/>
    <mergeCell ref="K2:K3"/>
    <mergeCell ref="L2:L3"/>
    <mergeCell ref="M2:M3"/>
    <mergeCell ref="N2:N3"/>
    <mergeCell ref="O2:O3"/>
    <mergeCell ref="A2:A3"/>
    <mergeCell ref="B2:B3"/>
    <mergeCell ref="C2:C3"/>
    <mergeCell ref="D2:D3"/>
    <mergeCell ref="E2:E3"/>
    <mergeCell ref="F2:I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2026-06-22T13:11:26Z</dcterms:created>
  <dcterms:modified xsi:type="dcterms:W3CDTF">2026-06-22T13:11:58Z</dcterms:modified>
</cp:coreProperties>
</file>